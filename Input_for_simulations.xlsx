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ianGiæver\Downloads\"/>
    </mc:Choice>
  </mc:AlternateContent>
  <xr:revisionPtr revIDLastSave="0" documentId="13_ncr:1_{A4A6ACE2-0B5A-451F-B097-E55FB3F3EA8A}" xr6:coauthVersionLast="47" xr6:coauthVersionMax="47" xr10:uidLastSave="{00000000-0000-0000-0000-000000000000}"/>
  <bookViews>
    <workbookView xWindow="-51720" yWindow="-8235" windowWidth="51840" windowHeight="21120" xr2:uid="{F1D9F68C-69B2-4F3B-9E9B-B7C29027A64F}"/>
  </bookViews>
  <sheets>
    <sheet name="Read Me" sheetId="1" r:id="rId1"/>
    <sheet name="W90 MP" sheetId="5" r:id="rId2"/>
    <sheet name="JUV MP" sheetId="6" r:id="rId3"/>
    <sheet name="FIV MP" sheetId="7" r:id="rId4"/>
    <sheet name="W90 WTG" sheetId="2" r:id="rId5"/>
    <sheet name="JUV WTG" sheetId="3" r:id="rId6"/>
    <sheet name="FIV WTG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F12" i="6"/>
  <c r="H12" i="6" s="1"/>
  <c r="H11" i="6"/>
  <c r="F11" i="6"/>
  <c r="G11" i="6" s="1"/>
  <c r="F10" i="6"/>
  <c r="G10" i="6" s="1"/>
  <c r="F9" i="6"/>
  <c r="H9" i="6" s="1"/>
  <c r="F8" i="6"/>
  <c r="H8" i="6" s="1"/>
  <c r="H7" i="6"/>
  <c r="F7" i="6"/>
  <c r="G7" i="6" s="1"/>
  <c r="H6" i="6"/>
  <c r="G6" i="6"/>
  <c r="F6" i="6"/>
  <c r="F5" i="6"/>
  <c r="H5" i="6" s="1"/>
  <c r="F4" i="6"/>
  <c r="G4" i="6" s="1"/>
  <c r="H3" i="6"/>
  <c r="F3" i="6"/>
  <c r="G3" i="6" s="1"/>
  <c r="H2" i="6"/>
  <c r="G2" i="6"/>
  <c r="F2" i="6"/>
  <c r="F3" i="7"/>
  <c r="G3" i="7" s="1"/>
  <c r="H3" i="7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 s="1"/>
  <c r="F9" i="7"/>
  <c r="G9" i="7"/>
  <c r="H9" i="7"/>
  <c r="F10" i="7"/>
  <c r="G10" i="7"/>
  <c r="H10" i="7"/>
  <c r="F11" i="7"/>
  <c r="G11" i="7"/>
  <c r="H11" i="7"/>
  <c r="F12" i="7"/>
  <c r="G12" i="7"/>
  <c r="H12" i="7"/>
  <c r="F2" i="7"/>
  <c r="G2" i="7"/>
  <c r="H2" i="7"/>
  <c r="H6" i="5"/>
  <c r="H10" i="5"/>
  <c r="H11" i="5"/>
  <c r="H12" i="5"/>
  <c r="H2" i="5"/>
  <c r="G6" i="5"/>
  <c r="G10" i="5"/>
  <c r="G11" i="5"/>
  <c r="G12" i="5"/>
  <c r="G2" i="5"/>
  <c r="F3" i="5"/>
  <c r="G3" i="5" s="1"/>
  <c r="F4" i="5"/>
  <c r="G4" i="5" s="1"/>
  <c r="F5" i="5"/>
  <c r="G5" i="5" s="1"/>
  <c r="F6" i="5"/>
  <c r="F7" i="5"/>
  <c r="G7" i="5" s="1"/>
  <c r="F8" i="5"/>
  <c r="G8" i="5" s="1"/>
  <c r="F9" i="5"/>
  <c r="H9" i="5" s="1"/>
  <c r="F10" i="5"/>
  <c r="F11" i="5"/>
  <c r="F12" i="5"/>
  <c r="F2" i="5"/>
  <c r="H30" i="4"/>
  <c r="F30" i="4"/>
  <c r="H29" i="4"/>
  <c r="F29" i="4"/>
  <c r="H28" i="4"/>
  <c r="F28" i="4"/>
  <c r="H27" i="4"/>
  <c r="F27" i="4"/>
  <c r="H26" i="4"/>
  <c r="F26" i="4" s="1"/>
  <c r="H25" i="4"/>
  <c r="F25" i="4"/>
  <c r="H24" i="4"/>
  <c r="F24" i="4"/>
  <c r="H23" i="4"/>
  <c r="F23" i="4"/>
  <c r="H22" i="4"/>
  <c r="F22" i="4"/>
  <c r="H21" i="4"/>
  <c r="F21" i="4" s="1"/>
  <c r="H20" i="4"/>
  <c r="F20" i="4"/>
  <c r="H19" i="4"/>
  <c r="F19" i="4"/>
  <c r="H18" i="4"/>
  <c r="F18" i="4"/>
  <c r="H17" i="4"/>
  <c r="F17" i="4"/>
  <c r="H16" i="4"/>
  <c r="F16" i="4"/>
  <c r="H15" i="4"/>
  <c r="F15" i="4" s="1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F2" i="4"/>
  <c r="G8" i="6" l="1"/>
  <c r="H4" i="6"/>
  <c r="G9" i="6"/>
  <c r="H10" i="6"/>
  <c r="G5" i="6"/>
  <c r="H8" i="7"/>
  <c r="H7" i="5"/>
  <c r="H5" i="5"/>
  <c r="H4" i="5"/>
  <c r="H8" i="5"/>
  <c r="H3" i="5"/>
  <c r="G9" i="5"/>
  <c r="H35" i="3" l="1"/>
  <c r="F35" i="3"/>
  <c r="H34" i="3"/>
  <c r="F34" i="3" s="1"/>
  <c r="H33" i="3"/>
  <c r="F33" i="3" s="1"/>
  <c r="H32" i="3"/>
  <c r="F32" i="3"/>
  <c r="H31" i="3"/>
  <c r="F31" i="3"/>
  <c r="H30" i="3"/>
  <c r="F30" i="3" s="1"/>
  <c r="H29" i="3"/>
  <c r="F29" i="3" s="1"/>
  <c r="H28" i="3"/>
  <c r="F28" i="3"/>
  <c r="H27" i="3"/>
  <c r="F27" i="3"/>
  <c r="H26" i="3"/>
  <c r="F26" i="3" s="1"/>
  <c r="H25" i="3"/>
  <c r="F25" i="3" s="1"/>
  <c r="H24" i="3"/>
  <c r="F24" i="3"/>
  <c r="H23" i="3"/>
  <c r="F23" i="3"/>
  <c r="H22" i="3"/>
  <c r="F22" i="3" s="1"/>
  <c r="H21" i="3"/>
  <c r="F21" i="3" s="1"/>
  <c r="H20" i="3"/>
  <c r="F20" i="3"/>
  <c r="H19" i="3"/>
  <c r="F19" i="3"/>
  <c r="H18" i="3"/>
  <c r="F18" i="3" s="1"/>
  <c r="H17" i="3"/>
  <c r="F17" i="3" s="1"/>
  <c r="H16" i="3"/>
  <c r="F16" i="3"/>
  <c r="H15" i="3"/>
  <c r="F15" i="3" s="1"/>
  <c r="H14" i="3"/>
  <c r="F14" i="3" s="1"/>
  <c r="H13" i="3"/>
  <c r="F13" i="3" s="1"/>
  <c r="H12" i="3"/>
  <c r="F12" i="3"/>
  <c r="H11" i="3"/>
  <c r="F11" i="3" s="1"/>
  <c r="H10" i="3"/>
  <c r="F10" i="3" s="1"/>
  <c r="H9" i="3"/>
  <c r="F9" i="3" s="1"/>
  <c r="H8" i="3"/>
  <c r="F8" i="3"/>
  <c r="H7" i="3"/>
  <c r="F7" i="3" s="1"/>
  <c r="H6" i="3"/>
  <c r="F6" i="3" s="1"/>
  <c r="H5" i="3"/>
  <c r="F5" i="3" s="1"/>
  <c r="H4" i="3"/>
  <c r="F4" i="3"/>
  <c r="H3" i="3"/>
  <c r="F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F2" i="3"/>
  <c r="F62" i="2"/>
  <c r="H62" i="2" s="1"/>
  <c r="F61" i="2"/>
  <c r="G61" i="2" s="1"/>
  <c r="H60" i="2"/>
  <c r="G60" i="2"/>
  <c r="F60" i="2"/>
  <c r="F59" i="2"/>
  <c r="H59" i="2" s="1"/>
  <c r="F58" i="2"/>
  <c r="H58" i="2" s="1"/>
  <c r="H57" i="2"/>
  <c r="G57" i="2"/>
  <c r="F57" i="2"/>
  <c r="F56" i="2"/>
  <c r="H56" i="2" s="1"/>
  <c r="F55" i="2"/>
  <c r="G55" i="2" s="1"/>
  <c r="H54" i="2"/>
  <c r="G54" i="2"/>
  <c r="F54" i="2"/>
  <c r="F53" i="2"/>
  <c r="H53" i="2" s="1"/>
  <c r="F52" i="2"/>
  <c r="G52" i="2" s="1"/>
  <c r="H51" i="2"/>
  <c r="G51" i="2"/>
  <c r="F51" i="2"/>
  <c r="F50" i="2"/>
  <c r="H50" i="2" s="1"/>
  <c r="F49" i="2"/>
  <c r="H49" i="2" s="1"/>
  <c r="H48" i="2"/>
  <c r="G48" i="2"/>
  <c r="F48" i="2"/>
  <c r="F47" i="2"/>
  <c r="H47" i="2" s="1"/>
  <c r="F46" i="2"/>
  <c r="G46" i="2" s="1"/>
  <c r="H45" i="2"/>
  <c r="G45" i="2"/>
  <c r="F45" i="2"/>
  <c r="F44" i="2"/>
  <c r="H44" i="2" s="1"/>
  <c r="F43" i="2"/>
  <c r="H43" i="2" s="1"/>
  <c r="H42" i="2"/>
  <c r="G42" i="2"/>
  <c r="F42" i="2"/>
  <c r="F41" i="2"/>
  <c r="H41" i="2" s="1"/>
  <c r="F40" i="2"/>
  <c r="G40" i="2" s="1"/>
  <c r="H39" i="2"/>
  <c r="G39" i="2"/>
  <c r="F39" i="2"/>
  <c r="F38" i="2"/>
  <c r="H38" i="2" s="1"/>
  <c r="F37" i="2"/>
  <c r="G37" i="2" s="1"/>
  <c r="H36" i="2"/>
  <c r="G36" i="2"/>
  <c r="F36" i="2"/>
  <c r="F35" i="2"/>
  <c r="H35" i="2" s="1"/>
  <c r="F34" i="2"/>
  <c r="H34" i="2" s="1"/>
  <c r="H33" i="2"/>
  <c r="G33" i="2"/>
  <c r="F33" i="2"/>
  <c r="F32" i="2"/>
  <c r="H32" i="2" s="1"/>
  <c r="F31" i="2"/>
  <c r="G31" i="2" s="1"/>
  <c r="H30" i="2"/>
  <c r="G30" i="2"/>
  <c r="H29" i="2"/>
  <c r="G29" i="2"/>
  <c r="F28" i="2"/>
  <c r="H28" i="2" s="1"/>
  <c r="H27" i="2"/>
  <c r="F27" i="2"/>
  <c r="G27" i="2" s="1"/>
  <c r="H26" i="2"/>
  <c r="G26" i="2"/>
  <c r="F26" i="2"/>
  <c r="F25" i="2"/>
  <c r="H25" i="2" s="1"/>
  <c r="H24" i="2"/>
  <c r="F24" i="2"/>
  <c r="G24" i="2" s="1"/>
  <c r="H23" i="2"/>
  <c r="G23" i="2"/>
  <c r="F23" i="2"/>
  <c r="F22" i="2"/>
  <c r="H22" i="2" s="1"/>
  <c r="H21" i="2"/>
  <c r="F21" i="2"/>
  <c r="G21" i="2" s="1"/>
  <c r="H20" i="2"/>
  <c r="G20" i="2"/>
  <c r="F20" i="2"/>
  <c r="F19" i="2"/>
  <c r="H19" i="2" s="1"/>
  <c r="H18" i="2"/>
  <c r="F18" i="2"/>
  <c r="G18" i="2" s="1"/>
  <c r="H17" i="2"/>
  <c r="G17" i="2"/>
  <c r="F17" i="2"/>
  <c r="F16" i="2"/>
  <c r="H16" i="2" s="1"/>
  <c r="H15" i="2"/>
  <c r="F15" i="2"/>
  <c r="G15" i="2" s="1"/>
  <c r="H14" i="2"/>
  <c r="G14" i="2"/>
  <c r="F14" i="2"/>
  <c r="F13" i="2"/>
  <c r="H13" i="2" s="1"/>
  <c r="H12" i="2"/>
  <c r="F12" i="2"/>
  <c r="G12" i="2" s="1"/>
  <c r="H11" i="2"/>
  <c r="G11" i="2"/>
  <c r="F11" i="2"/>
  <c r="F10" i="2"/>
  <c r="H10" i="2" s="1"/>
  <c r="H9" i="2"/>
  <c r="F9" i="2"/>
  <c r="G9" i="2" s="1"/>
  <c r="H8" i="2"/>
  <c r="G8" i="2"/>
  <c r="F8" i="2"/>
  <c r="F7" i="2"/>
  <c r="H7" i="2" s="1"/>
  <c r="H6" i="2"/>
  <c r="F6" i="2"/>
  <c r="G6" i="2" s="1"/>
  <c r="H5" i="2"/>
  <c r="G5" i="2"/>
  <c r="F5" i="2"/>
  <c r="F4" i="2"/>
  <c r="H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H3" i="2"/>
  <c r="F3" i="2"/>
  <c r="G3" i="2" s="1"/>
  <c r="A3" i="2"/>
  <c r="H2" i="2"/>
  <c r="G2" i="2"/>
  <c r="F2" i="2"/>
  <c r="G34" i="2" l="1"/>
  <c r="G43" i="2"/>
  <c r="G49" i="2"/>
  <c r="G58" i="2"/>
  <c r="H31" i="2"/>
  <c r="H37" i="2"/>
  <c r="H40" i="2"/>
  <c r="H46" i="2"/>
  <c r="H52" i="2"/>
  <c r="H55" i="2"/>
  <c r="H61" i="2"/>
  <c r="G4" i="2"/>
  <c r="G7" i="2"/>
  <c r="G10" i="2"/>
  <c r="G13" i="2"/>
  <c r="G16" i="2"/>
  <c r="G19" i="2"/>
  <c r="G22" i="2"/>
  <c r="G25" i="2"/>
  <c r="G28" i="2"/>
  <c r="G32" i="2"/>
  <c r="G35" i="2"/>
  <c r="G38" i="2"/>
  <c r="G41" i="2"/>
  <c r="G44" i="2"/>
  <c r="G47" i="2"/>
  <c r="G50" i="2"/>
  <c r="G53" i="2"/>
  <c r="G56" i="2"/>
  <c r="G59" i="2"/>
  <c r="G62" i="2"/>
</calcChain>
</file>

<file path=xl/sharedStrings.xml><?xml version="1.0" encoding="utf-8"?>
<sst xmlns="http://schemas.openxmlformats.org/spreadsheetml/2006/main" count="352" uniqueCount="137">
  <si>
    <t>N</t>
  </si>
  <si>
    <t>Description</t>
  </si>
  <si>
    <t xml:space="preserve"> Seq Dur (hrs)</t>
  </si>
  <si>
    <t>Oplim Waves (m)</t>
  </si>
  <si>
    <t>Oplim Wind (m/s)</t>
  </si>
  <si>
    <t xml:space="preserve">Tc (hrs) % </t>
  </si>
  <si>
    <t>Tc (hrs)</t>
  </si>
  <si>
    <t>Tr (hrs)</t>
  </si>
  <si>
    <t>Transit</t>
  </si>
  <si>
    <t xml:space="preserve">Loading </t>
  </si>
  <si>
    <t>Installation</t>
  </si>
  <si>
    <t xml:space="preserve">Parallell  1 </t>
  </si>
  <si>
    <t xml:space="preserve">Parallell  2 </t>
  </si>
  <si>
    <t>Position W90 for loading from barges (W90 in DP mode)</t>
  </si>
  <si>
    <t>START</t>
  </si>
  <si>
    <t>8 Transport barges loaded with 8 TT main towers  (32 sections total)</t>
  </si>
  <si>
    <t>Move TT barge 1 alongside W90 starboard (2 tugs). Moore to W90</t>
  </si>
  <si>
    <t>Connect W90 SDC and lift TT main section 1 to W90 catwalk</t>
  </si>
  <si>
    <t>Lift main section 1 into vertical by STH, then into main tower to AP1.</t>
  </si>
  <si>
    <t>Connect W90 SDC and lift TT main section2 to W90 catwalk</t>
  </si>
  <si>
    <t>Lift main section 2 into vertical by STH, then into main tower to AP1.</t>
  </si>
  <si>
    <t>Bolt TT section 1 and 2 together in AP1</t>
  </si>
  <si>
    <t>Connect W90 SDC and lift TT main section 3 to W90 catwalk</t>
  </si>
  <si>
    <t>Lift main section 3 into vertical by STH, then into main tower to AP1.</t>
  </si>
  <si>
    <t>Bolt TT section 2 and 3 together in AP1</t>
  </si>
  <si>
    <t>Connect W90 SDC and lift TT main section 4 to W90 catwalk</t>
  </si>
  <si>
    <t>Lift main section 4 into vertical by STH, then into main tower to AP1.</t>
  </si>
  <si>
    <t>Bolt TT section 3 and 4 together in AP1 and seafasten in setback</t>
  </si>
  <si>
    <t>1 Transport barge loaded with 8 vertical TT Lower sections ready in sheltered area</t>
  </si>
  <si>
    <t>Move TT barge  alongside W90 port side (2 tugs). Moore to W90.</t>
  </si>
  <si>
    <t>PDC lift 8 lower TT sections onto W90 to skid landing area port side.</t>
  </si>
  <si>
    <t>Skid and seafasten all lower TT tubes in W90 deck storage area</t>
  </si>
  <si>
    <t>2 transport barges loaded with 8 nacelles (30x10x10m, ea1400t) ready</t>
  </si>
  <si>
    <t>Move Nacelle barge  alongside W90 port side (2 tugs). Moore to W90.</t>
  </si>
  <si>
    <t>PDC lift 8 Nacelles onto W90 to skid landing area port side.</t>
  </si>
  <si>
    <t>Skid and seafasten all Nacelles in W90 deck storage area</t>
  </si>
  <si>
    <t>4 Transport barges with 24 rotor blades (for 8WTG's) Ready in sheltered area</t>
  </si>
  <si>
    <t>Move Rotor Blade barge  alongside W90 port side (2 tugs). Moore to W90.</t>
  </si>
  <si>
    <t xml:space="preserve">Offload from barges and store 24 rotor blades onboard W90 blade rack. </t>
  </si>
  <si>
    <t xml:space="preserve">Prepare for transit, manouver W90 to open sea. </t>
  </si>
  <si>
    <t xml:space="preserve">END </t>
  </si>
  <si>
    <t>Ballast W90 to operating draft approaching windpark location</t>
  </si>
  <si>
    <t>Position W90 over foundation, fully loaded, 8 WTG sets</t>
  </si>
  <si>
    <t xml:space="preserve">Move lower TT from port store position to MAP </t>
  </si>
  <si>
    <t>Move main TT from stb store position to SAP</t>
  </si>
  <si>
    <t>Lift main TT up and transverse over top of lower TT</t>
  </si>
  <si>
    <t>Position and bolt up lower and main TT in MAP</t>
  </si>
  <si>
    <t>Move TT gripping tool  to SAP</t>
  </si>
  <si>
    <t xml:space="preserve">Main hoist connect nacelle yoke </t>
  </si>
  <si>
    <t>Main hoist install elevator to TT</t>
  </si>
  <si>
    <t>Main hoist lift nacelle up, release transport skid</t>
  </si>
  <si>
    <t>Main hoist lift nacelle up and over top of TT</t>
  </si>
  <si>
    <t>Position and bolt nacelle to top of TT</t>
  </si>
  <si>
    <t>Prepare fwd horizontal guides for TT move</t>
  </si>
  <si>
    <t>Prepare main hoist yoke, diconnect nacelle, lift on TT</t>
  </si>
  <si>
    <t xml:space="preserve">Lift TT with nacelle, move forward to blade inst. position </t>
  </si>
  <si>
    <t>Move blade 1 from aft center storage to blade trolley</t>
  </si>
  <si>
    <t>Move blade and trolley to fwd position</t>
  </si>
  <si>
    <t xml:space="preserve">Blade installer pick up blade and move to nacelle hub </t>
  </si>
  <si>
    <t>Install blade 1 to hub, bolt up</t>
  </si>
  <si>
    <t>Rotate hub 120 deg</t>
  </si>
  <si>
    <t>Move blade 2 from aft center storage to blade trolley</t>
  </si>
  <si>
    <t>Install blade 2 to hub, bolt up</t>
  </si>
  <si>
    <t>Move blade 3 from aft center storage to blade trolley</t>
  </si>
  <si>
    <t>Install blade 3 to hub, bolt up</t>
  </si>
  <si>
    <t>Align W90 and WTG for connection to TP-BF foundation.</t>
  </si>
  <si>
    <t>Lower WTG onto TP- foundation, bolt up</t>
  </si>
  <si>
    <t>Prepare to disconnect from WTG</t>
  </si>
  <si>
    <t>Move W90 0.5NM to next location</t>
  </si>
  <si>
    <t xml:space="preserve">Transit into port </t>
  </si>
  <si>
    <t xml:space="preserve">Transit </t>
  </si>
  <si>
    <t xml:space="preserve">NA </t>
  </si>
  <si>
    <t>port entry to load-out quay</t>
  </si>
  <si>
    <t>jack-up at port / quay</t>
  </si>
  <si>
    <t>preparatory works (e.g. gangway secured, backloading Owner, etc.)</t>
  </si>
  <si>
    <t>handover main crane from Owner to WTG OEM</t>
  </si>
  <si>
    <t>backloading WTG items incl. TP-cover</t>
  </si>
  <si>
    <t xml:space="preserve">Loading of WTG tower </t>
  </si>
  <si>
    <t xml:space="preserve">Loading of WTG nacelle </t>
  </si>
  <si>
    <t>Loading of blades for ( Time per blade x Number of turbines carried)</t>
  </si>
  <si>
    <t>Loading of auxiliary equipment of WTG-OEM</t>
  </si>
  <si>
    <t>handover main crane from WTG OEM to Owner</t>
  </si>
  <si>
    <t>Finish load-out operations and prepare for sailing jack-down at port</t>
  </si>
  <si>
    <t>port exit</t>
  </si>
  <si>
    <t>Transit to Project location</t>
  </si>
  <si>
    <t>DP trials before entering Dreekant OWF borders</t>
  </si>
  <si>
    <t>pre-loading and jack-up to working height</t>
  </si>
  <si>
    <t>preparation of TP and TP-cover removal</t>
  </si>
  <si>
    <t>prepare for tower lifting</t>
  </si>
  <si>
    <t>installation of tower (safe to safe)</t>
  </si>
  <si>
    <t>de-rigging tower</t>
  </si>
  <si>
    <t>prepare for nacelle lifting</t>
  </si>
  <si>
    <t>installation of nacelle (safe to safe)</t>
  </si>
  <si>
    <t>de-rigging nacelle</t>
  </si>
  <si>
    <t>prepare for blade lifting</t>
  </si>
  <si>
    <t>installation of blade 1 (per blade &amp; safe to safe)</t>
  </si>
  <si>
    <t>installation of blade 2 (per blade &amp; safe to safe)</t>
  </si>
  <si>
    <t>installation of blade 3 (per blade &amp; safe to safe)</t>
  </si>
  <si>
    <t>de-rigging blades</t>
  </si>
  <si>
    <t>WTG completion works</t>
  </si>
  <si>
    <t>preparation works before jack-down</t>
  </si>
  <si>
    <t>jack-down at location</t>
  </si>
  <si>
    <t>Relocate to next asset</t>
  </si>
  <si>
    <t>END</t>
  </si>
  <si>
    <t xml:space="preserve">Transit to sheltered area or Yard </t>
  </si>
  <si>
    <t>Given by distance</t>
  </si>
  <si>
    <t xml:space="preserve">Arrival and mooring </t>
  </si>
  <si>
    <t>Loading each Monopile</t>
  </si>
  <si>
    <t xml:space="preserve">Sea-fastening and departure </t>
  </si>
  <si>
    <t>Transit to Wind Farm</t>
  </si>
  <si>
    <t>Arrival Wind Farm, positioning and preperations</t>
  </si>
  <si>
    <t>Move MP from setback to Main Hook position</t>
  </si>
  <si>
    <t>Monopile is lowered to the seabed and positioned accurately.</t>
  </si>
  <si>
    <t xml:space="preserve">Check and Verifications </t>
  </si>
  <si>
    <t>Description - MP Piling (non drilling)</t>
  </si>
  <si>
    <t>Monopile is driven into the seabed using a vibro-hammer (initial) and then a hydraulic impact hammer (main driving). (Ad 10 horus if drilling)</t>
  </si>
  <si>
    <t>Move to next location</t>
  </si>
  <si>
    <t>Move MP from DECK to Main Hook position</t>
  </si>
  <si>
    <t xml:space="preserve">Transit @10kts. Prepare for loading </t>
  </si>
  <si>
    <t xml:space="preserve">Transit @10kts. back to windfarm area </t>
  </si>
  <si>
    <t>jmooring port / quay</t>
  </si>
  <si>
    <t>DP positioning on foundation</t>
  </si>
  <si>
    <t>TP / interface inspection</t>
  </si>
  <si>
    <t>Lift tower section 1</t>
  </si>
  <si>
    <t>Set‑down &amp; bolt tower section 1</t>
  </si>
  <si>
    <t>Lift/set tower section 2</t>
  </si>
  <si>
    <t>Lift/set tower section 3 (if any)</t>
  </si>
  <si>
    <t>Lift nacelle from deck</t>
  </si>
  <si>
    <t>Nacelle overboard &amp; set‑down</t>
  </si>
  <si>
    <t>Lift blade 1</t>
  </si>
  <si>
    <t>Blade 1 hub mating &amp; bolting</t>
  </si>
  <si>
    <t>Blade 2 install</t>
  </si>
  <si>
    <t>Blade 3 install</t>
  </si>
  <si>
    <t>Final bolting &amp; torqueing</t>
  </si>
  <si>
    <t>Mechanical completion checks</t>
  </si>
  <si>
    <t xml:space="preserve">FALSE </t>
  </si>
  <si>
    <t xml:space="preserve">Clear turbine &amp; move‑off to next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</si>
</sst>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5" xfId="0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9" borderId="7" xfId="0" applyFont="1" applyFill="1" applyBorder="1" applyAlignment="1">
      <alignment horizontal="center" vertical="center"/>
    </xf>
    <xf numFmtId="9" fontId="2" fillId="5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8" borderId="5" xfId="0" applyFill="1" applyBorder="1"/>
    <xf numFmtId="0" fontId="4" fillId="0" borderId="9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9" borderId="9" xfId="0" applyFont="1" applyFill="1" applyBorder="1" applyAlignment="1">
      <alignment horizontal="center" vertical="center"/>
    </xf>
    <xf numFmtId="9" fontId="2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9" borderId="5" xfId="0" applyFont="1" applyFill="1" applyBorder="1" applyAlignment="1">
      <alignment horizontal="center" vertical="center"/>
    </xf>
    <xf numFmtId="9" fontId="2" fillId="5" borderId="5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4" fillId="11" borderId="11" xfId="0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 vertical="center"/>
    </xf>
    <xf numFmtId="0" fontId="4" fillId="11" borderId="9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6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left"/>
    </xf>
    <xf numFmtId="0" fontId="3" fillId="9" borderId="15" xfId="0" applyFont="1" applyFill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9" fontId="6" fillId="0" borderId="15" xfId="0" applyNumberFormat="1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6" xfId="0" applyFont="1" applyBorder="1"/>
    <xf numFmtId="0" fontId="6" fillId="9" borderId="16" xfId="0" applyFont="1" applyFill="1" applyBorder="1" applyAlignment="1">
      <alignment horizontal="center"/>
    </xf>
    <xf numFmtId="9" fontId="6" fillId="0" borderId="16" xfId="0" applyNumberFormat="1" applyFont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/>
    <xf numFmtId="0" fontId="6" fillId="9" borderId="3" xfId="0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6" fillId="0" borderId="15" xfId="0" applyFont="1" applyBorder="1"/>
    <xf numFmtId="0" fontId="6" fillId="9" borderId="15" xfId="0" applyFont="1" applyFill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7" xfId="0" applyFont="1" applyBorder="1"/>
    <xf numFmtId="0" fontId="6" fillId="9" borderId="17" xfId="0" applyFont="1" applyFill="1" applyBorder="1" applyAlignment="1">
      <alignment horizontal="center"/>
    </xf>
    <xf numFmtId="9" fontId="6" fillId="0" borderId="17" xfId="0" applyNumberFormat="1" applyFont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0" fontId="6" fillId="12" borderId="3" xfId="0" applyFont="1" applyFill="1" applyBorder="1"/>
    <xf numFmtId="2" fontId="6" fillId="12" borderId="3" xfId="0" applyNumberFormat="1" applyFont="1" applyFill="1" applyBorder="1" applyAlignment="1">
      <alignment horizontal="center"/>
    </xf>
    <xf numFmtId="0" fontId="6" fillId="12" borderId="15" xfId="0" applyFont="1" applyFill="1" applyBorder="1"/>
    <xf numFmtId="0" fontId="0" fillId="9" borderId="15" xfId="0" applyFill="1" applyBorder="1"/>
    <xf numFmtId="2" fontId="6" fillId="12" borderId="15" xfId="0" applyNumberFormat="1" applyFont="1" applyFill="1" applyBorder="1" applyAlignment="1">
      <alignment horizontal="center"/>
    </xf>
    <xf numFmtId="0" fontId="6" fillId="12" borderId="16" xfId="0" applyFont="1" applyFill="1" applyBorder="1"/>
    <xf numFmtId="2" fontId="0" fillId="0" borderId="16" xfId="0" applyNumberForma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0" fillId="0" borderId="18" xfId="0" applyBorder="1"/>
    <xf numFmtId="9" fontId="0" fillId="0" borderId="18" xfId="1" applyFont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8" xfId="0" applyBorder="1" applyAlignment="1">
      <alignment horizontal="center"/>
    </xf>
    <xf numFmtId="0" fontId="5" fillId="0" borderId="17" xfId="0" applyFont="1" applyBorder="1" applyAlignment="1">
      <alignment horizontal="left"/>
    </xf>
    <xf numFmtId="0" fontId="3" fillId="9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Per cent" xfId="1" builtinId="5"/>
  </cellStyles>
  <dxfs count="11"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EF2-5F83-447C-A646-8B226C8CDBB3}">
  <dimension ref="D6:E8"/>
  <sheetViews>
    <sheetView tabSelected="1" workbookViewId="0"/>
  </sheetViews>
  <sheetFormatPr defaultRowHeight="14.5" x14ac:dyDescent="0.35"/>
  <sheetData>
    <row r="6" spans="4:5" x14ac:dyDescent="0.35">
      <c r="D6" s="118" t="b">
        <v>1</v>
      </c>
      <c r="E6" s="118" t="s">
        <v>14</v>
      </c>
    </row>
    <row r="7" spans="4:5" x14ac:dyDescent="0.35">
      <c r="D7" s="118" t="b">
        <v>0</v>
      </c>
      <c r="E7" s="118" t="s">
        <v>103</v>
      </c>
    </row>
    <row r="8" spans="4:5" x14ac:dyDescent="0.35">
      <c r="D8" s="118"/>
      <c r="E8" s="11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8D5C-8E21-44E0-825A-AF89AE0AA4E5}">
  <dimension ref="A1:K12"/>
  <sheetViews>
    <sheetView workbookViewId="0">
      <selection activeCell="F33" sqref="F33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9" t="s">
        <v>0</v>
      </c>
      <c r="B1" s="4" t="s">
        <v>114</v>
      </c>
      <c r="C1" s="70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9" t="s">
        <v>9</v>
      </c>
      <c r="K1" s="9" t="s">
        <v>10</v>
      </c>
    </row>
    <row r="2" spans="1:11" x14ac:dyDescent="0.35">
      <c r="A2">
        <v>1</v>
      </c>
      <c r="B2" t="s">
        <v>104</v>
      </c>
      <c r="C2" t="s">
        <v>105</v>
      </c>
      <c r="D2">
        <v>7.1</v>
      </c>
      <c r="E2">
        <v>18</v>
      </c>
      <c r="F2" s="120" t="str">
        <f t="shared" ref="F2:F12" si="0">IF(ISNUMBER(C2), 50%, "NA")</f>
        <v>NA</v>
      </c>
      <c r="G2" s="119" t="str">
        <f t="shared" ref="G2:G12" si="1">IF(ISNUMBER(C2), C2*(F2), "NA")</f>
        <v>NA</v>
      </c>
      <c r="H2" s="119" t="str">
        <f t="shared" ref="H2:H12" si="2">IF(ISNUMBER(C2), C2*(1+F2), C2)</f>
        <v>Given by distance</v>
      </c>
      <c r="I2" s="118" t="b">
        <v>1</v>
      </c>
      <c r="J2" s="118" t="b">
        <v>0</v>
      </c>
      <c r="K2" s="118" t="b">
        <v>0</v>
      </c>
    </row>
    <row r="3" spans="1:11" x14ac:dyDescent="0.35">
      <c r="A3">
        <v>2</v>
      </c>
      <c r="B3" t="s">
        <v>106</v>
      </c>
      <c r="C3">
        <v>1</v>
      </c>
      <c r="D3">
        <v>2.5</v>
      </c>
      <c r="E3">
        <v>18</v>
      </c>
      <c r="F3" s="120">
        <f t="shared" si="0"/>
        <v>0.5</v>
      </c>
      <c r="G3" s="119">
        <f t="shared" si="1"/>
        <v>0.5</v>
      </c>
      <c r="H3" s="119">
        <f t="shared" si="2"/>
        <v>1.5</v>
      </c>
      <c r="I3" s="118" t="s">
        <v>135</v>
      </c>
      <c r="J3" s="118" t="s">
        <v>14</v>
      </c>
      <c r="K3" s="118" t="b">
        <v>0</v>
      </c>
    </row>
    <row r="4" spans="1:11" x14ac:dyDescent="0.35">
      <c r="A4">
        <v>3</v>
      </c>
      <c r="B4" t="s">
        <v>107</v>
      </c>
      <c r="C4">
        <v>8</v>
      </c>
      <c r="D4">
        <v>2.5</v>
      </c>
      <c r="E4">
        <v>18</v>
      </c>
      <c r="F4" s="120">
        <f t="shared" si="0"/>
        <v>0.5</v>
      </c>
      <c r="G4" s="119">
        <f t="shared" si="1"/>
        <v>4</v>
      </c>
      <c r="H4" s="119">
        <f t="shared" si="2"/>
        <v>12</v>
      </c>
      <c r="I4" s="118" t="s">
        <v>135</v>
      </c>
      <c r="J4" s="118" t="b">
        <v>0</v>
      </c>
      <c r="K4" s="118" t="b">
        <v>0</v>
      </c>
    </row>
    <row r="5" spans="1:11" x14ac:dyDescent="0.35">
      <c r="A5">
        <v>4</v>
      </c>
      <c r="B5" t="s">
        <v>108</v>
      </c>
      <c r="C5">
        <v>3</v>
      </c>
      <c r="D5">
        <v>2.5</v>
      </c>
      <c r="E5">
        <v>18</v>
      </c>
      <c r="F5" s="120">
        <f t="shared" si="0"/>
        <v>0.5</v>
      </c>
      <c r="G5" s="119">
        <f t="shared" si="1"/>
        <v>1.5</v>
      </c>
      <c r="H5" s="119">
        <f t="shared" si="2"/>
        <v>4.5</v>
      </c>
      <c r="I5" s="118" t="s">
        <v>135</v>
      </c>
      <c r="J5" s="118" t="s">
        <v>103</v>
      </c>
      <c r="K5" s="118" t="b">
        <v>0</v>
      </c>
    </row>
    <row r="6" spans="1:11" x14ac:dyDescent="0.35">
      <c r="A6">
        <v>5</v>
      </c>
      <c r="B6" t="s">
        <v>109</v>
      </c>
      <c r="C6" t="s">
        <v>105</v>
      </c>
      <c r="D6">
        <v>7.1</v>
      </c>
      <c r="E6">
        <v>18</v>
      </c>
      <c r="F6" s="120" t="str">
        <f t="shared" si="0"/>
        <v>NA</v>
      </c>
      <c r="G6" s="119" t="str">
        <f t="shared" si="1"/>
        <v>NA</v>
      </c>
      <c r="H6" s="119" t="str">
        <f t="shared" si="2"/>
        <v>Given by distance</v>
      </c>
      <c r="I6" s="118" t="b">
        <v>1</v>
      </c>
      <c r="J6" s="118" t="b">
        <v>0</v>
      </c>
      <c r="K6" s="118" t="b">
        <v>0</v>
      </c>
    </row>
    <row r="7" spans="1:11" x14ac:dyDescent="0.35">
      <c r="A7">
        <v>6</v>
      </c>
      <c r="B7" t="s">
        <v>110</v>
      </c>
      <c r="C7">
        <v>2</v>
      </c>
      <c r="D7">
        <v>6</v>
      </c>
      <c r="E7">
        <v>18</v>
      </c>
      <c r="F7" s="120">
        <f t="shared" si="0"/>
        <v>0.5</v>
      </c>
      <c r="G7" s="119">
        <f t="shared" si="1"/>
        <v>1</v>
      </c>
      <c r="H7" s="119">
        <f t="shared" si="2"/>
        <v>3</v>
      </c>
      <c r="I7" s="118" t="s">
        <v>135</v>
      </c>
      <c r="J7" s="118" t="b">
        <v>0</v>
      </c>
      <c r="K7" s="118" t="s">
        <v>14</v>
      </c>
    </row>
    <row r="8" spans="1:11" x14ac:dyDescent="0.35">
      <c r="A8">
        <v>7</v>
      </c>
      <c r="B8" t="s">
        <v>111</v>
      </c>
      <c r="C8">
        <v>2</v>
      </c>
      <c r="D8">
        <v>6</v>
      </c>
      <c r="E8">
        <v>18</v>
      </c>
      <c r="F8" s="120">
        <f t="shared" si="0"/>
        <v>0.5</v>
      </c>
      <c r="G8" s="119">
        <f t="shared" si="1"/>
        <v>1</v>
      </c>
      <c r="H8" s="119">
        <f t="shared" si="2"/>
        <v>3</v>
      </c>
      <c r="I8" s="118" t="s">
        <v>135</v>
      </c>
      <c r="J8" s="118" t="b">
        <v>0</v>
      </c>
      <c r="K8" s="118" t="b">
        <v>0</v>
      </c>
    </row>
    <row r="9" spans="1:11" x14ac:dyDescent="0.35">
      <c r="A9">
        <v>8</v>
      </c>
      <c r="B9" t="s">
        <v>112</v>
      </c>
      <c r="C9">
        <v>4</v>
      </c>
      <c r="D9">
        <v>2.5</v>
      </c>
      <c r="E9">
        <v>18</v>
      </c>
      <c r="F9" s="120">
        <f t="shared" si="0"/>
        <v>0.5</v>
      </c>
      <c r="G9" s="119">
        <f t="shared" si="1"/>
        <v>2</v>
      </c>
      <c r="H9" s="119">
        <f t="shared" si="2"/>
        <v>6</v>
      </c>
      <c r="I9" s="118" t="s">
        <v>135</v>
      </c>
      <c r="J9" s="118" t="b">
        <v>0</v>
      </c>
      <c r="K9" s="118" t="b">
        <v>0</v>
      </c>
    </row>
    <row r="10" spans="1:11" ht="29" x14ac:dyDescent="0.35">
      <c r="A10">
        <v>9</v>
      </c>
      <c r="B10" s="117" t="s">
        <v>115</v>
      </c>
      <c r="C10">
        <v>10</v>
      </c>
      <c r="D10">
        <v>2.5</v>
      </c>
      <c r="E10">
        <v>18</v>
      </c>
      <c r="F10" s="120">
        <f t="shared" si="0"/>
        <v>0.5</v>
      </c>
      <c r="G10" s="119">
        <f t="shared" si="1"/>
        <v>5</v>
      </c>
      <c r="H10" s="119">
        <f t="shared" si="2"/>
        <v>15</v>
      </c>
      <c r="I10" s="118" t="s">
        <v>135</v>
      </c>
      <c r="J10" s="118" t="b">
        <v>0</v>
      </c>
      <c r="K10" s="118" t="b">
        <v>0</v>
      </c>
    </row>
    <row r="11" spans="1:11" x14ac:dyDescent="0.35">
      <c r="A11">
        <v>10</v>
      </c>
      <c r="B11" t="s">
        <v>113</v>
      </c>
      <c r="C11">
        <v>2</v>
      </c>
      <c r="D11">
        <v>2.5</v>
      </c>
      <c r="E11">
        <v>18</v>
      </c>
      <c r="F11" s="120">
        <f t="shared" si="0"/>
        <v>0.5</v>
      </c>
      <c r="G11" s="119">
        <f t="shared" si="1"/>
        <v>1</v>
      </c>
      <c r="H11" s="119">
        <f t="shared" si="2"/>
        <v>3</v>
      </c>
      <c r="I11" s="118" t="s">
        <v>135</v>
      </c>
      <c r="J11" s="118" t="b">
        <v>0</v>
      </c>
      <c r="K11" s="118" t="b">
        <v>0</v>
      </c>
    </row>
    <row r="12" spans="1:11" ht="15" thickBot="1" x14ac:dyDescent="0.4">
      <c r="A12" s="121">
        <v>11</v>
      </c>
      <c r="B12" s="121" t="s">
        <v>116</v>
      </c>
      <c r="C12" s="121">
        <v>1</v>
      </c>
      <c r="D12" s="121">
        <v>6</v>
      </c>
      <c r="E12" s="121">
        <v>18</v>
      </c>
      <c r="F12" s="122">
        <f t="shared" si="0"/>
        <v>0.5</v>
      </c>
      <c r="G12" s="123">
        <f t="shared" si="1"/>
        <v>0.5</v>
      </c>
      <c r="H12" s="123">
        <f t="shared" si="2"/>
        <v>1.5</v>
      </c>
      <c r="I12" s="124" t="s">
        <v>135</v>
      </c>
      <c r="J12" s="124" t="b">
        <v>0</v>
      </c>
      <c r="K12" s="124" t="s">
        <v>103</v>
      </c>
    </row>
  </sheetData>
  <conditionalFormatting sqref="I1:K1">
    <cfRule type="expression" dxfId="10" priority="3">
      <formula>I1 &lt;&gt; FALSE</formula>
    </cfRule>
  </conditionalFormatting>
  <conditionalFormatting sqref="I2:K12">
    <cfRule type="expression" dxfId="9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38F54A-B660-42A9-B0B1-72118D5622B6}">
          <x14:formula1>
            <xm:f>'Read Me'!$D$6:$D$7</xm:f>
          </x14:formula1>
          <xm:sqref>I2:I12</xm:sqref>
        </x14:dataValidation>
        <x14:dataValidation type="list" allowBlank="1" showInputMessage="1" showErrorMessage="1" xr:uid="{3A473D1B-3BB2-449D-B158-7FC400FA1284}">
          <x14:formula1>
            <xm:f>'Read Me'!$E$6:$E$8</xm:f>
          </x14:formula1>
          <xm:sqref>J2:K12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EA3-9190-456F-8060-DD0B5A348D27}">
  <dimension ref="A1:AH13"/>
  <sheetViews>
    <sheetView workbookViewId="0">
      <selection activeCell="B10" sqref="B10"/>
    </sheetView>
  </sheetViews>
  <sheetFormatPr defaultRowHeight="14.5" x14ac:dyDescent="0.35"/>
  <cols>
    <col min="1" max="1" width="17.1796875" customWidth="1"/>
    <col min="2" max="2" width="63.26953125" customWidth="1"/>
    <col min="3" max="11" width="17.1796875" customWidth="1"/>
  </cols>
  <sheetData>
    <row r="1" spans="1:34" x14ac:dyDescent="0.35">
      <c r="A1" s="69" t="s">
        <v>0</v>
      </c>
      <c r="B1" s="4" t="s">
        <v>1</v>
      </c>
      <c r="C1" s="70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9" t="s">
        <v>9</v>
      </c>
      <c r="K1" s="9" t="s">
        <v>10</v>
      </c>
    </row>
    <row r="2" spans="1:34" x14ac:dyDescent="0.35">
      <c r="A2">
        <v>1</v>
      </c>
      <c r="B2" t="s">
        <v>104</v>
      </c>
      <c r="C2" t="s">
        <v>105</v>
      </c>
      <c r="D2">
        <v>4</v>
      </c>
      <c r="E2">
        <v>18</v>
      </c>
      <c r="F2" s="120" t="str">
        <f t="shared" ref="F2:F12" si="0">IF(ISNUMBER(C2), 50%, "NA")</f>
        <v>NA</v>
      </c>
      <c r="G2" s="119" t="str">
        <f t="shared" ref="G2:G12" si="1">IF(ISNUMBER(C2), C2*(F2), "NA")</f>
        <v>NA</v>
      </c>
      <c r="H2" s="119" t="str">
        <f t="shared" ref="H2:H12" si="2">IF(ISNUMBER(C2), C2*(1+F2), C2)</f>
        <v>Given by distance</v>
      </c>
      <c r="I2" s="118" t="b">
        <v>1</v>
      </c>
      <c r="J2" s="118" t="b">
        <v>0</v>
      </c>
      <c r="K2" s="118" t="b">
        <v>0</v>
      </c>
    </row>
    <row r="3" spans="1:34" x14ac:dyDescent="0.35">
      <c r="A3">
        <v>2</v>
      </c>
      <c r="B3" t="s">
        <v>106</v>
      </c>
      <c r="C3">
        <v>1</v>
      </c>
      <c r="D3">
        <v>1</v>
      </c>
      <c r="E3">
        <v>18</v>
      </c>
      <c r="F3" s="120">
        <f t="shared" si="0"/>
        <v>0.5</v>
      </c>
      <c r="G3" s="119">
        <f t="shared" si="1"/>
        <v>0.5</v>
      </c>
      <c r="H3" s="119">
        <f t="shared" si="2"/>
        <v>1.5</v>
      </c>
      <c r="I3" s="118" t="s">
        <v>135</v>
      </c>
      <c r="J3" s="118" t="s">
        <v>14</v>
      </c>
      <c r="K3" s="118" t="b">
        <v>0</v>
      </c>
    </row>
    <row r="4" spans="1:34" x14ac:dyDescent="0.35">
      <c r="A4">
        <v>3</v>
      </c>
      <c r="B4" t="s">
        <v>107</v>
      </c>
      <c r="C4">
        <v>8</v>
      </c>
      <c r="D4">
        <v>1.5</v>
      </c>
      <c r="E4">
        <v>11</v>
      </c>
      <c r="F4" s="120">
        <f t="shared" si="0"/>
        <v>0.5</v>
      </c>
      <c r="G4" s="119">
        <f t="shared" si="1"/>
        <v>4</v>
      </c>
      <c r="H4" s="119">
        <f t="shared" si="2"/>
        <v>12</v>
      </c>
      <c r="I4" s="118" t="s">
        <v>135</v>
      </c>
      <c r="J4" s="118" t="b">
        <v>0</v>
      </c>
      <c r="K4" s="118" t="b">
        <v>0</v>
      </c>
    </row>
    <row r="5" spans="1:34" x14ac:dyDescent="0.35">
      <c r="A5">
        <v>4</v>
      </c>
      <c r="B5" t="s">
        <v>108</v>
      </c>
      <c r="C5">
        <v>3</v>
      </c>
      <c r="D5">
        <v>1</v>
      </c>
      <c r="E5">
        <v>11</v>
      </c>
      <c r="F5" s="120">
        <f t="shared" si="0"/>
        <v>0.5</v>
      </c>
      <c r="G5" s="119">
        <f t="shared" si="1"/>
        <v>1.5</v>
      </c>
      <c r="H5" s="119">
        <f t="shared" si="2"/>
        <v>4.5</v>
      </c>
      <c r="I5" s="118" t="s">
        <v>135</v>
      </c>
      <c r="J5" s="118" t="s">
        <v>103</v>
      </c>
      <c r="K5" s="118" t="b">
        <v>0</v>
      </c>
    </row>
    <row r="6" spans="1:34" x14ac:dyDescent="0.35">
      <c r="A6">
        <v>5</v>
      </c>
      <c r="B6" t="s">
        <v>109</v>
      </c>
      <c r="C6" t="s">
        <v>105</v>
      </c>
      <c r="D6">
        <v>4</v>
      </c>
      <c r="E6">
        <v>18</v>
      </c>
      <c r="F6" s="120" t="str">
        <f t="shared" si="0"/>
        <v>NA</v>
      </c>
      <c r="G6" s="119" t="str">
        <f t="shared" si="1"/>
        <v>NA</v>
      </c>
      <c r="H6" s="119" t="str">
        <f t="shared" si="2"/>
        <v>Given by distance</v>
      </c>
      <c r="I6" s="118" t="b">
        <v>1</v>
      </c>
      <c r="J6" s="118" t="b">
        <v>0</v>
      </c>
      <c r="K6" s="118" t="b">
        <v>0</v>
      </c>
      <c r="AC6" s="115"/>
      <c r="AD6" s="115"/>
      <c r="AE6" s="115"/>
      <c r="AF6" s="115"/>
      <c r="AG6" s="115"/>
      <c r="AH6" s="116"/>
    </row>
    <row r="7" spans="1:34" x14ac:dyDescent="0.35">
      <c r="A7">
        <v>6</v>
      </c>
      <c r="B7" t="s">
        <v>110</v>
      </c>
      <c r="C7">
        <v>2</v>
      </c>
      <c r="D7">
        <v>2.5</v>
      </c>
      <c r="E7">
        <v>14</v>
      </c>
      <c r="F7" s="120">
        <f t="shared" si="0"/>
        <v>0.5</v>
      </c>
      <c r="G7" s="119">
        <f t="shared" si="1"/>
        <v>1</v>
      </c>
      <c r="H7" s="119">
        <f t="shared" si="2"/>
        <v>3</v>
      </c>
      <c r="I7" s="118" t="s">
        <v>135</v>
      </c>
      <c r="J7" s="118" t="b">
        <v>0</v>
      </c>
      <c r="K7" s="118" t="s">
        <v>103</v>
      </c>
    </row>
    <row r="8" spans="1:34" x14ac:dyDescent="0.35">
      <c r="A8">
        <v>7</v>
      </c>
      <c r="B8" t="s">
        <v>117</v>
      </c>
      <c r="C8">
        <v>6</v>
      </c>
      <c r="D8">
        <v>1.5</v>
      </c>
      <c r="E8">
        <v>11</v>
      </c>
      <c r="F8" s="120">
        <f t="shared" si="0"/>
        <v>0.5</v>
      </c>
      <c r="G8" s="119">
        <f t="shared" si="1"/>
        <v>3</v>
      </c>
      <c r="H8" s="119">
        <f t="shared" si="2"/>
        <v>9</v>
      </c>
      <c r="I8" s="118" t="s">
        <v>135</v>
      </c>
      <c r="J8" s="118" t="b">
        <v>0</v>
      </c>
      <c r="K8" s="118" t="b">
        <v>0</v>
      </c>
      <c r="AA8" s="115"/>
    </row>
    <row r="9" spans="1:34" x14ac:dyDescent="0.35">
      <c r="A9">
        <v>8</v>
      </c>
      <c r="B9" t="s">
        <v>112</v>
      </c>
      <c r="C9">
        <v>4</v>
      </c>
      <c r="D9">
        <v>1.5</v>
      </c>
      <c r="E9">
        <v>11</v>
      </c>
      <c r="F9" s="120">
        <f t="shared" si="0"/>
        <v>0.5</v>
      </c>
      <c r="G9" s="119">
        <f t="shared" si="1"/>
        <v>2</v>
      </c>
      <c r="H9" s="119">
        <f t="shared" si="2"/>
        <v>6</v>
      </c>
      <c r="I9" s="118" t="s">
        <v>135</v>
      </c>
      <c r="J9" s="118" t="b">
        <v>0</v>
      </c>
      <c r="K9" s="118" t="b">
        <v>0</v>
      </c>
      <c r="AA9" s="115"/>
    </row>
    <row r="10" spans="1:34" x14ac:dyDescent="0.35">
      <c r="A10">
        <v>9</v>
      </c>
      <c r="B10" s="137" t="s">
        <v>115</v>
      </c>
      <c r="C10">
        <v>10</v>
      </c>
      <c r="D10">
        <v>2</v>
      </c>
      <c r="E10">
        <v>11</v>
      </c>
      <c r="F10" s="120">
        <f t="shared" si="0"/>
        <v>0.5</v>
      </c>
      <c r="G10" s="119">
        <f t="shared" si="1"/>
        <v>5</v>
      </c>
      <c r="H10" s="119">
        <f t="shared" si="2"/>
        <v>15</v>
      </c>
      <c r="I10" s="118" t="s">
        <v>135</v>
      </c>
      <c r="J10" s="118" t="b">
        <v>0</v>
      </c>
      <c r="K10" s="118" t="b">
        <v>0</v>
      </c>
      <c r="AA10" s="115"/>
    </row>
    <row r="11" spans="1:34" x14ac:dyDescent="0.35">
      <c r="A11">
        <v>10</v>
      </c>
      <c r="B11" t="s">
        <v>113</v>
      </c>
      <c r="C11">
        <v>2</v>
      </c>
      <c r="D11">
        <v>2</v>
      </c>
      <c r="E11">
        <v>11</v>
      </c>
      <c r="F11" s="120">
        <f t="shared" si="0"/>
        <v>0.5</v>
      </c>
      <c r="G11" s="119">
        <f t="shared" si="1"/>
        <v>1</v>
      </c>
      <c r="H11" s="119">
        <f t="shared" si="2"/>
        <v>3</v>
      </c>
      <c r="I11" s="118" t="s">
        <v>135</v>
      </c>
      <c r="J11" s="118" t="b">
        <v>0</v>
      </c>
      <c r="K11" s="118" t="b">
        <v>0</v>
      </c>
      <c r="AA11" s="115"/>
    </row>
    <row r="12" spans="1:34" ht="15" thickBot="1" x14ac:dyDescent="0.4">
      <c r="A12" s="121">
        <v>11</v>
      </c>
      <c r="B12" s="121" t="s">
        <v>116</v>
      </c>
      <c r="C12" s="121">
        <v>1</v>
      </c>
      <c r="D12" s="121">
        <v>4</v>
      </c>
      <c r="E12" s="121">
        <v>14</v>
      </c>
      <c r="F12" s="122">
        <f t="shared" si="0"/>
        <v>0.5</v>
      </c>
      <c r="G12" s="123">
        <f t="shared" si="1"/>
        <v>0.5</v>
      </c>
      <c r="H12" s="123">
        <f t="shared" si="2"/>
        <v>1.5</v>
      </c>
      <c r="I12" s="124" t="s">
        <v>135</v>
      </c>
      <c r="J12" s="124" t="b">
        <v>0</v>
      </c>
      <c r="K12" s="124" t="s">
        <v>103</v>
      </c>
      <c r="AA12" s="115"/>
    </row>
    <row r="13" spans="1:34" x14ac:dyDescent="0.35">
      <c r="AA13" s="115"/>
    </row>
  </sheetData>
  <conditionalFormatting sqref="I1:K1">
    <cfRule type="expression" dxfId="5" priority="2">
      <formula>I1 &lt;&gt; FALSE</formula>
    </cfRule>
  </conditionalFormatting>
  <conditionalFormatting sqref="I2:K12">
    <cfRule type="expression" dxfId="0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395AB5-8E13-4FF2-B09C-83D9722C7D01}">
          <x14:formula1>
            <xm:f>'Read Me'!$E$6:$E$8</xm:f>
          </x14:formula1>
          <xm:sqref>J2:K12</xm:sqref>
        </x14:dataValidation>
        <x14:dataValidation type="list" allowBlank="1" showInputMessage="1" showErrorMessage="1" xr:uid="{232B83E9-7E28-4ABA-8758-971E22F3256A}">
          <x14:formula1>
            <xm:f>'Read Me'!$D$6:$D$7</xm:f>
          </x14:formula1>
          <xm:sqref>I2:I12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2BB4-2702-45D4-BB76-442A270FBD5F}">
  <dimension ref="A1:K12"/>
  <sheetViews>
    <sheetView workbookViewId="0">
      <selection activeCell="A2" sqref="A2:K12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9" t="s">
        <v>0</v>
      </c>
      <c r="B1" s="4" t="s">
        <v>114</v>
      </c>
      <c r="C1" s="70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9" t="s">
        <v>9</v>
      </c>
      <c r="K1" s="9" t="s">
        <v>10</v>
      </c>
    </row>
    <row r="2" spans="1:11" x14ac:dyDescent="0.35">
      <c r="A2">
        <v>1</v>
      </c>
      <c r="B2" t="s">
        <v>104</v>
      </c>
      <c r="C2" t="s">
        <v>105</v>
      </c>
      <c r="D2">
        <v>4</v>
      </c>
      <c r="E2">
        <v>18</v>
      </c>
      <c r="F2" s="120" t="str">
        <f t="shared" ref="F2:F12" si="0">IF(ISNUMBER(C2), 50%, "NA")</f>
        <v>NA</v>
      </c>
      <c r="G2" s="119" t="str">
        <f t="shared" ref="G2:G12" si="1">IF(ISNUMBER(C2), C2*(F2), "NA")</f>
        <v>NA</v>
      </c>
      <c r="H2" s="119" t="str">
        <f t="shared" ref="H2:H12" si="2">IF(ISNUMBER(C2), C2*(1+F2), C2)</f>
        <v>Given by distance</v>
      </c>
      <c r="I2" s="118" t="b">
        <v>1</v>
      </c>
      <c r="J2" s="118" t="b">
        <v>0</v>
      </c>
      <c r="K2" s="118" t="b">
        <v>0</v>
      </c>
    </row>
    <row r="3" spans="1:11" x14ac:dyDescent="0.35">
      <c r="A3">
        <v>2</v>
      </c>
      <c r="B3" t="s">
        <v>106</v>
      </c>
      <c r="C3">
        <v>1</v>
      </c>
      <c r="D3">
        <v>1</v>
      </c>
      <c r="E3">
        <v>18</v>
      </c>
      <c r="F3" s="120">
        <f t="shared" si="0"/>
        <v>0.5</v>
      </c>
      <c r="G3" s="119">
        <f t="shared" si="1"/>
        <v>0.5</v>
      </c>
      <c r="H3" s="119">
        <f t="shared" si="2"/>
        <v>1.5</v>
      </c>
      <c r="I3" s="118" t="s">
        <v>135</v>
      </c>
      <c r="J3" s="118" t="s">
        <v>14</v>
      </c>
      <c r="K3" s="118" t="b">
        <v>0</v>
      </c>
    </row>
    <row r="4" spans="1:11" x14ac:dyDescent="0.35">
      <c r="A4">
        <v>3</v>
      </c>
      <c r="B4" t="s">
        <v>107</v>
      </c>
      <c r="C4">
        <v>8</v>
      </c>
      <c r="D4">
        <v>1.5</v>
      </c>
      <c r="E4">
        <v>11</v>
      </c>
      <c r="F4" s="120">
        <f t="shared" si="0"/>
        <v>0.5</v>
      </c>
      <c r="G4" s="119">
        <f t="shared" si="1"/>
        <v>4</v>
      </c>
      <c r="H4" s="119">
        <f t="shared" si="2"/>
        <v>12</v>
      </c>
      <c r="I4" s="118" t="s">
        <v>135</v>
      </c>
      <c r="J4" s="118" t="b">
        <v>0</v>
      </c>
      <c r="K4" s="118" t="b">
        <v>0</v>
      </c>
    </row>
    <row r="5" spans="1:11" x14ac:dyDescent="0.35">
      <c r="A5">
        <v>4</v>
      </c>
      <c r="B5" t="s">
        <v>108</v>
      </c>
      <c r="C5">
        <v>3</v>
      </c>
      <c r="D5">
        <v>1</v>
      </c>
      <c r="E5">
        <v>11</v>
      </c>
      <c r="F5" s="120">
        <f t="shared" si="0"/>
        <v>0.5</v>
      </c>
      <c r="G5" s="119">
        <f t="shared" si="1"/>
        <v>1.5</v>
      </c>
      <c r="H5" s="119">
        <f t="shared" si="2"/>
        <v>4.5</v>
      </c>
      <c r="I5" s="118" t="s">
        <v>135</v>
      </c>
      <c r="J5" s="118" t="s">
        <v>103</v>
      </c>
      <c r="K5" s="118" t="b">
        <v>0</v>
      </c>
    </row>
    <row r="6" spans="1:11" x14ac:dyDescent="0.35">
      <c r="A6">
        <v>5</v>
      </c>
      <c r="B6" t="s">
        <v>109</v>
      </c>
      <c r="C6" t="s">
        <v>105</v>
      </c>
      <c r="D6">
        <v>4</v>
      </c>
      <c r="E6">
        <v>18</v>
      </c>
      <c r="F6" s="120" t="str">
        <f t="shared" si="0"/>
        <v>NA</v>
      </c>
      <c r="G6" s="119" t="str">
        <f t="shared" si="1"/>
        <v>NA</v>
      </c>
      <c r="H6" s="119" t="str">
        <f t="shared" si="2"/>
        <v>Given by distance</v>
      </c>
      <c r="I6" s="118" t="b">
        <v>1</v>
      </c>
      <c r="J6" s="118" t="b">
        <v>0</v>
      </c>
      <c r="K6" s="118" t="b">
        <v>0</v>
      </c>
    </row>
    <row r="7" spans="1:11" x14ac:dyDescent="0.35">
      <c r="A7">
        <v>6</v>
      </c>
      <c r="B7" t="s">
        <v>110</v>
      </c>
      <c r="C7">
        <v>2</v>
      </c>
      <c r="D7">
        <v>2.5</v>
      </c>
      <c r="E7">
        <v>14</v>
      </c>
      <c r="F7" s="120">
        <f t="shared" si="0"/>
        <v>0.5</v>
      </c>
      <c r="G7" s="119">
        <f t="shared" si="1"/>
        <v>1</v>
      </c>
      <c r="H7" s="119">
        <f t="shared" si="2"/>
        <v>3</v>
      </c>
      <c r="I7" s="118" t="s">
        <v>135</v>
      </c>
      <c r="J7" s="118" t="b">
        <v>0</v>
      </c>
      <c r="K7" s="118" t="s">
        <v>103</v>
      </c>
    </row>
    <row r="8" spans="1:11" x14ac:dyDescent="0.35">
      <c r="A8">
        <v>7</v>
      </c>
      <c r="B8" t="s">
        <v>117</v>
      </c>
      <c r="C8">
        <v>6</v>
      </c>
      <c r="D8">
        <v>1.5</v>
      </c>
      <c r="E8">
        <v>11</v>
      </c>
      <c r="F8" s="120">
        <f t="shared" si="0"/>
        <v>0.5</v>
      </c>
      <c r="G8" s="119">
        <f t="shared" si="1"/>
        <v>3</v>
      </c>
      <c r="H8" s="119">
        <f t="shared" si="2"/>
        <v>9</v>
      </c>
      <c r="I8" s="118" t="s">
        <v>135</v>
      </c>
      <c r="J8" s="118" t="b">
        <v>0</v>
      </c>
      <c r="K8" s="118" t="b">
        <v>0</v>
      </c>
    </row>
    <row r="9" spans="1:11" x14ac:dyDescent="0.35">
      <c r="A9">
        <v>8</v>
      </c>
      <c r="B9" t="s">
        <v>112</v>
      </c>
      <c r="C9">
        <v>4</v>
      </c>
      <c r="D9">
        <v>1.5</v>
      </c>
      <c r="E9">
        <v>11</v>
      </c>
      <c r="F9" s="120">
        <f t="shared" si="0"/>
        <v>0.5</v>
      </c>
      <c r="G9" s="119">
        <f t="shared" si="1"/>
        <v>2</v>
      </c>
      <c r="H9" s="119">
        <f t="shared" si="2"/>
        <v>6</v>
      </c>
      <c r="I9" s="118" t="s">
        <v>135</v>
      </c>
      <c r="J9" s="118" t="b">
        <v>0</v>
      </c>
      <c r="K9" s="118" t="b">
        <v>0</v>
      </c>
    </row>
    <row r="10" spans="1:11" ht="29" x14ac:dyDescent="0.35">
      <c r="A10">
        <v>9</v>
      </c>
      <c r="B10" s="117" t="s">
        <v>115</v>
      </c>
      <c r="C10">
        <v>10</v>
      </c>
      <c r="D10">
        <v>2</v>
      </c>
      <c r="E10">
        <v>11</v>
      </c>
      <c r="F10" s="120">
        <f t="shared" si="0"/>
        <v>0.5</v>
      </c>
      <c r="G10" s="119">
        <f t="shared" si="1"/>
        <v>5</v>
      </c>
      <c r="H10" s="119">
        <f t="shared" si="2"/>
        <v>15</v>
      </c>
      <c r="I10" s="118" t="s">
        <v>135</v>
      </c>
      <c r="J10" s="118" t="b">
        <v>0</v>
      </c>
      <c r="K10" s="118" t="b">
        <v>0</v>
      </c>
    </row>
    <row r="11" spans="1:11" x14ac:dyDescent="0.35">
      <c r="A11">
        <v>10</v>
      </c>
      <c r="B11" t="s">
        <v>113</v>
      </c>
      <c r="C11">
        <v>2</v>
      </c>
      <c r="D11">
        <v>2</v>
      </c>
      <c r="E11">
        <v>11</v>
      </c>
      <c r="F11" s="120">
        <f t="shared" si="0"/>
        <v>0.5</v>
      </c>
      <c r="G11" s="119">
        <f t="shared" si="1"/>
        <v>1</v>
      </c>
      <c r="H11" s="119">
        <f t="shared" si="2"/>
        <v>3</v>
      </c>
      <c r="I11" s="118" t="s">
        <v>135</v>
      </c>
      <c r="J11" s="118" t="b">
        <v>0</v>
      </c>
      <c r="K11" s="118" t="b">
        <v>0</v>
      </c>
    </row>
    <row r="12" spans="1:11" ht="15" thickBot="1" x14ac:dyDescent="0.4">
      <c r="A12" s="121">
        <v>11</v>
      </c>
      <c r="B12" s="121" t="s">
        <v>116</v>
      </c>
      <c r="C12" s="121">
        <v>1</v>
      </c>
      <c r="D12" s="121">
        <v>4</v>
      </c>
      <c r="E12" s="121">
        <v>14</v>
      </c>
      <c r="F12" s="122">
        <f t="shared" si="0"/>
        <v>0.5</v>
      </c>
      <c r="G12" s="123">
        <f t="shared" si="1"/>
        <v>0.5</v>
      </c>
      <c r="H12" s="123">
        <f t="shared" si="2"/>
        <v>1.5</v>
      </c>
      <c r="I12" s="124" t="s">
        <v>135</v>
      </c>
      <c r="J12" s="124" t="b">
        <v>0</v>
      </c>
      <c r="K12" s="124" t="s">
        <v>103</v>
      </c>
    </row>
  </sheetData>
  <conditionalFormatting sqref="I1:K1">
    <cfRule type="expression" dxfId="3" priority="2">
      <formula>I1 &lt;&gt; FALSE</formula>
    </cfRule>
  </conditionalFormatting>
  <conditionalFormatting sqref="I2:K12">
    <cfRule type="expression" dxfId="2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976ACE-604F-4FC9-B7BC-134DC34587F9}">
          <x14:formula1>
            <xm:f>'Read Me'!$D$6:$D$7</xm:f>
          </x14:formula1>
          <xm:sqref>I2:I12</xm:sqref>
        </x14:dataValidation>
        <x14:dataValidation type="list" allowBlank="1" showInputMessage="1" showErrorMessage="1" xr:uid="{19A11316-E25A-44D4-BFA3-E096AA06702F}">
          <x14:formula1>
            <xm:f>'Read Me'!$E$6:$E$8</xm:f>
          </x14:formula1>
          <xm:sqref>J2:K12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33E5-F544-4D73-922F-983ADCF97DDD}">
  <dimension ref="A1:M62"/>
  <sheetViews>
    <sheetView topLeftCell="A18" workbookViewId="0">
      <selection activeCell="J28" sqref="J28"/>
    </sheetView>
  </sheetViews>
  <sheetFormatPr defaultRowHeight="14.5" x14ac:dyDescent="0.35"/>
  <cols>
    <col min="1" max="1" width="2.81640625" bestFit="1" customWidth="1"/>
    <col min="2" max="2" width="70.45312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  <col min="12" max="13" width="10.1796875" bestFit="1" customWidth="1"/>
  </cols>
  <sheetData>
    <row r="1" spans="1:13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</row>
    <row r="2" spans="1:13" ht="15" thickBot="1" x14ac:dyDescent="0.4">
      <c r="A2" s="12">
        <v>1</v>
      </c>
      <c r="B2" s="13" t="s">
        <v>118</v>
      </c>
      <c r="C2" s="14">
        <v>5</v>
      </c>
      <c r="D2" s="15">
        <v>7.1</v>
      </c>
      <c r="E2" s="15">
        <v>18</v>
      </c>
      <c r="F2" s="16">
        <f t="shared" ref="F2:F28" si="0">C2/2</f>
        <v>2.5</v>
      </c>
      <c r="G2" s="17">
        <f t="shared" ref="G2:G62" si="1">F2/C2</f>
        <v>0.5</v>
      </c>
      <c r="H2" s="18">
        <f t="shared" ref="H2:H62" si="2">C2+F2</f>
        <v>7.5</v>
      </c>
      <c r="I2" s="19" t="b">
        <v>1</v>
      </c>
      <c r="J2" s="20" t="b">
        <v>0</v>
      </c>
      <c r="K2" s="21" t="b">
        <v>0</v>
      </c>
      <c r="L2" s="22" t="b">
        <v>0</v>
      </c>
      <c r="M2" s="22" t="b">
        <v>0</v>
      </c>
    </row>
    <row r="3" spans="1:13" ht="15" thickBot="1" x14ac:dyDescent="0.4">
      <c r="A3" s="12">
        <f>A2+1</f>
        <v>2</v>
      </c>
      <c r="B3" s="23" t="s">
        <v>13</v>
      </c>
      <c r="C3" s="24">
        <v>2</v>
      </c>
      <c r="D3" s="25">
        <v>2.5</v>
      </c>
      <c r="E3" s="25">
        <v>18</v>
      </c>
      <c r="F3" s="26">
        <f t="shared" si="0"/>
        <v>1</v>
      </c>
      <c r="G3" s="27">
        <f t="shared" si="1"/>
        <v>0.5</v>
      </c>
      <c r="H3" s="28">
        <f t="shared" si="2"/>
        <v>3</v>
      </c>
      <c r="I3" s="19" t="b">
        <v>0</v>
      </c>
      <c r="J3" s="20" t="s">
        <v>14</v>
      </c>
      <c r="K3" s="21" t="b">
        <v>0</v>
      </c>
      <c r="L3" s="22" t="b">
        <v>0</v>
      </c>
      <c r="M3" s="22" t="b">
        <v>0</v>
      </c>
    </row>
    <row r="4" spans="1:13" ht="15" thickBot="1" x14ac:dyDescent="0.4">
      <c r="A4" s="12">
        <f t="shared" ref="A4:A62" si="3">A3+1</f>
        <v>3</v>
      </c>
      <c r="B4" s="29" t="s">
        <v>15</v>
      </c>
      <c r="C4" s="30">
        <v>1</v>
      </c>
      <c r="D4" s="31">
        <v>2.5</v>
      </c>
      <c r="E4" s="31">
        <v>18</v>
      </c>
      <c r="F4" s="32">
        <f t="shared" si="0"/>
        <v>0.5</v>
      </c>
      <c r="G4" s="33">
        <f t="shared" si="1"/>
        <v>0.5</v>
      </c>
      <c r="H4" s="34">
        <f t="shared" si="2"/>
        <v>1.5</v>
      </c>
      <c r="I4" s="35" t="b">
        <v>0</v>
      </c>
      <c r="J4" s="36" t="b">
        <v>0</v>
      </c>
      <c r="K4" s="37" t="b">
        <v>0</v>
      </c>
      <c r="L4" s="22" t="b">
        <v>1</v>
      </c>
      <c r="M4" s="22" t="b">
        <v>0</v>
      </c>
    </row>
    <row r="5" spans="1:13" ht="15" thickBot="1" x14ac:dyDescent="0.4">
      <c r="A5" s="12">
        <f t="shared" si="3"/>
        <v>4</v>
      </c>
      <c r="B5" s="38" t="s">
        <v>16</v>
      </c>
      <c r="C5" s="39">
        <v>1</v>
      </c>
      <c r="D5" s="40">
        <v>2.5</v>
      </c>
      <c r="E5" s="40">
        <v>18</v>
      </c>
      <c r="F5" s="41">
        <f t="shared" si="0"/>
        <v>0.5</v>
      </c>
      <c r="G5" s="42">
        <f t="shared" si="1"/>
        <v>0.5</v>
      </c>
      <c r="H5" s="43">
        <f t="shared" si="2"/>
        <v>1.5</v>
      </c>
      <c r="I5" s="35" t="b">
        <v>0</v>
      </c>
      <c r="J5" s="36" t="b">
        <v>0</v>
      </c>
      <c r="K5" s="37" t="b">
        <v>0</v>
      </c>
      <c r="L5" s="22" t="b">
        <v>1</v>
      </c>
      <c r="M5" s="22" t="b">
        <v>0</v>
      </c>
    </row>
    <row r="6" spans="1:13" ht="15" thickBot="1" x14ac:dyDescent="0.4">
      <c r="A6" s="12">
        <f t="shared" si="3"/>
        <v>5</v>
      </c>
      <c r="B6" s="38" t="s">
        <v>17</v>
      </c>
      <c r="C6" s="39">
        <v>1</v>
      </c>
      <c r="D6" s="40">
        <v>2.5</v>
      </c>
      <c r="E6" s="40">
        <v>18</v>
      </c>
      <c r="F6" s="41">
        <f t="shared" si="0"/>
        <v>0.5</v>
      </c>
      <c r="G6" s="42">
        <f t="shared" si="1"/>
        <v>0.5</v>
      </c>
      <c r="H6" s="43">
        <f t="shared" si="2"/>
        <v>1.5</v>
      </c>
      <c r="I6" s="35" t="b">
        <v>0</v>
      </c>
      <c r="J6" s="36" t="b">
        <v>0</v>
      </c>
      <c r="K6" s="37" t="b">
        <v>0</v>
      </c>
      <c r="L6" s="22" t="b">
        <v>1</v>
      </c>
      <c r="M6" s="22" t="b">
        <v>0</v>
      </c>
    </row>
    <row r="7" spans="1:13" ht="15" thickBot="1" x14ac:dyDescent="0.4">
      <c r="A7" s="12">
        <f t="shared" si="3"/>
        <v>6</v>
      </c>
      <c r="B7" s="38" t="s">
        <v>18</v>
      </c>
      <c r="C7" s="39">
        <v>1</v>
      </c>
      <c r="D7" s="40">
        <v>2.5</v>
      </c>
      <c r="E7" s="40">
        <v>18</v>
      </c>
      <c r="F7" s="41">
        <f t="shared" si="0"/>
        <v>0.5</v>
      </c>
      <c r="G7" s="42">
        <f t="shared" si="1"/>
        <v>0.5</v>
      </c>
      <c r="H7" s="43">
        <f t="shared" si="2"/>
        <v>1.5</v>
      </c>
      <c r="I7" s="35" t="b">
        <v>0</v>
      </c>
      <c r="J7" s="36" t="b">
        <v>0</v>
      </c>
      <c r="K7" s="37" t="b">
        <v>0</v>
      </c>
      <c r="L7" s="22" t="b">
        <v>1</v>
      </c>
      <c r="M7" s="22" t="b">
        <v>0</v>
      </c>
    </row>
    <row r="8" spans="1:13" ht="15" thickBot="1" x14ac:dyDescent="0.4">
      <c r="A8" s="12">
        <f t="shared" si="3"/>
        <v>7</v>
      </c>
      <c r="B8" s="38" t="s">
        <v>19</v>
      </c>
      <c r="C8" s="39">
        <v>1</v>
      </c>
      <c r="D8" s="40">
        <v>2.5</v>
      </c>
      <c r="E8" s="40">
        <v>18</v>
      </c>
      <c r="F8" s="41">
        <f t="shared" si="0"/>
        <v>0.5</v>
      </c>
      <c r="G8" s="42">
        <f t="shared" si="1"/>
        <v>0.5</v>
      </c>
      <c r="H8" s="43">
        <f t="shared" si="2"/>
        <v>1.5</v>
      </c>
      <c r="I8" s="35" t="b">
        <v>0</v>
      </c>
      <c r="J8" s="36" t="b">
        <v>0</v>
      </c>
      <c r="K8" s="37" t="b">
        <v>0</v>
      </c>
      <c r="L8" s="22" t="b">
        <v>1</v>
      </c>
      <c r="M8" s="22" t="b">
        <v>0</v>
      </c>
    </row>
    <row r="9" spans="1:13" ht="15" thickBot="1" x14ac:dyDescent="0.4">
      <c r="A9" s="12">
        <f t="shared" si="3"/>
        <v>8</v>
      </c>
      <c r="B9" s="38" t="s">
        <v>20</v>
      </c>
      <c r="C9" s="39">
        <v>1</v>
      </c>
      <c r="D9" s="40">
        <v>2.5</v>
      </c>
      <c r="E9" s="40">
        <v>18</v>
      </c>
      <c r="F9" s="41">
        <f t="shared" si="0"/>
        <v>0.5</v>
      </c>
      <c r="G9" s="42">
        <f t="shared" si="1"/>
        <v>0.5</v>
      </c>
      <c r="H9" s="43">
        <f t="shared" si="2"/>
        <v>1.5</v>
      </c>
      <c r="I9" s="35" t="b">
        <v>0</v>
      </c>
      <c r="J9" s="36" t="b">
        <v>0</v>
      </c>
      <c r="K9" s="37" t="b">
        <v>0</v>
      </c>
      <c r="L9" s="22" t="b">
        <v>1</v>
      </c>
      <c r="M9" s="22" t="b">
        <v>0</v>
      </c>
    </row>
    <row r="10" spans="1:13" ht="15" thickBot="1" x14ac:dyDescent="0.4">
      <c r="A10" s="12">
        <f t="shared" si="3"/>
        <v>9</v>
      </c>
      <c r="B10" s="38" t="s">
        <v>21</v>
      </c>
      <c r="C10" s="39">
        <v>3</v>
      </c>
      <c r="D10" s="40">
        <v>2.5</v>
      </c>
      <c r="E10" s="40">
        <v>18</v>
      </c>
      <c r="F10" s="41">
        <f t="shared" si="0"/>
        <v>1.5</v>
      </c>
      <c r="G10" s="42">
        <f t="shared" si="1"/>
        <v>0.5</v>
      </c>
      <c r="H10" s="43">
        <f t="shared" si="2"/>
        <v>4.5</v>
      </c>
      <c r="I10" s="35" t="b">
        <v>0</v>
      </c>
      <c r="J10" s="36" t="b">
        <v>0</v>
      </c>
      <c r="K10" s="37" t="b">
        <v>0</v>
      </c>
      <c r="L10" s="22" t="b">
        <v>1</v>
      </c>
      <c r="M10" s="22" t="b">
        <v>0</v>
      </c>
    </row>
    <row r="11" spans="1:13" ht="15" thickBot="1" x14ac:dyDescent="0.4">
      <c r="A11" s="12">
        <f t="shared" si="3"/>
        <v>10</v>
      </c>
      <c r="B11" s="38" t="s">
        <v>22</v>
      </c>
      <c r="C11" s="39">
        <v>1</v>
      </c>
      <c r="D11" s="40">
        <v>2.5</v>
      </c>
      <c r="E11" s="40">
        <v>18</v>
      </c>
      <c r="F11" s="41">
        <f t="shared" si="0"/>
        <v>0.5</v>
      </c>
      <c r="G11" s="42">
        <f t="shared" si="1"/>
        <v>0.5</v>
      </c>
      <c r="H11" s="43">
        <f t="shared" si="2"/>
        <v>1.5</v>
      </c>
      <c r="I11" s="35" t="b">
        <v>0</v>
      </c>
      <c r="J11" s="36" t="b">
        <v>0</v>
      </c>
      <c r="K11" s="37" t="b">
        <v>0</v>
      </c>
      <c r="L11" s="22" t="b">
        <v>1</v>
      </c>
      <c r="M11" s="22" t="b">
        <v>0</v>
      </c>
    </row>
    <row r="12" spans="1:13" ht="15" thickBot="1" x14ac:dyDescent="0.4">
      <c r="A12" s="12">
        <f t="shared" si="3"/>
        <v>11</v>
      </c>
      <c r="B12" s="38" t="s">
        <v>23</v>
      </c>
      <c r="C12" s="39">
        <v>1</v>
      </c>
      <c r="D12" s="40">
        <v>2.5</v>
      </c>
      <c r="E12" s="40">
        <v>18</v>
      </c>
      <c r="F12" s="41">
        <f t="shared" si="0"/>
        <v>0.5</v>
      </c>
      <c r="G12" s="42">
        <f t="shared" si="1"/>
        <v>0.5</v>
      </c>
      <c r="H12" s="43">
        <f t="shared" si="2"/>
        <v>1.5</v>
      </c>
      <c r="I12" s="35" t="b">
        <v>0</v>
      </c>
      <c r="J12" s="36" t="b">
        <v>0</v>
      </c>
      <c r="K12" s="37" t="b">
        <v>0</v>
      </c>
      <c r="L12" s="22" t="b">
        <v>1</v>
      </c>
      <c r="M12" s="22" t="b">
        <v>0</v>
      </c>
    </row>
    <row r="13" spans="1:13" ht="15" thickBot="1" x14ac:dyDescent="0.4">
      <c r="A13" s="12">
        <f t="shared" si="3"/>
        <v>12</v>
      </c>
      <c r="B13" s="38" t="s">
        <v>24</v>
      </c>
      <c r="C13" s="39">
        <v>3</v>
      </c>
      <c r="D13" s="40">
        <v>2.5</v>
      </c>
      <c r="E13" s="40">
        <v>18</v>
      </c>
      <c r="F13" s="41">
        <f t="shared" si="0"/>
        <v>1.5</v>
      </c>
      <c r="G13" s="42">
        <f t="shared" si="1"/>
        <v>0.5</v>
      </c>
      <c r="H13" s="43">
        <f t="shared" si="2"/>
        <v>4.5</v>
      </c>
      <c r="I13" s="35" t="b">
        <v>0</v>
      </c>
      <c r="J13" s="36" t="b">
        <v>0</v>
      </c>
      <c r="K13" s="37" t="b">
        <v>0</v>
      </c>
      <c r="L13" s="22" t="b">
        <v>1</v>
      </c>
      <c r="M13" s="22" t="b">
        <v>0</v>
      </c>
    </row>
    <row r="14" spans="1:13" ht="15" thickBot="1" x14ac:dyDescent="0.4">
      <c r="A14" s="12">
        <f t="shared" si="3"/>
        <v>13</v>
      </c>
      <c r="B14" s="38" t="s">
        <v>25</v>
      </c>
      <c r="C14" s="39">
        <v>1</v>
      </c>
      <c r="D14" s="40">
        <v>2.5</v>
      </c>
      <c r="E14" s="40">
        <v>18</v>
      </c>
      <c r="F14" s="41">
        <f t="shared" si="0"/>
        <v>0.5</v>
      </c>
      <c r="G14" s="42">
        <f t="shared" si="1"/>
        <v>0.5</v>
      </c>
      <c r="H14" s="43">
        <f t="shared" si="2"/>
        <v>1.5</v>
      </c>
      <c r="I14" s="35" t="b">
        <v>0</v>
      </c>
      <c r="J14" s="36" t="b">
        <v>0</v>
      </c>
      <c r="K14" s="37" t="b">
        <v>0</v>
      </c>
      <c r="L14" s="22" t="b">
        <v>1</v>
      </c>
      <c r="M14" s="22" t="b">
        <v>0</v>
      </c>
    </row>
    <row r="15" spans="1:13" ht="15" thickBot="1" x14ac:dyDescent="0.4">
      <c r="A15" s="12">
        <f t="shared" si="3"/>
        <v>14</v>
      </c>
      <c r="B15" s="38" t="s">
        <v>26</v>
      </c>
      <c r="C15" s="39">
        <v>1</v>
      </c>
      <c r="D15" s="40">
        <v>2.5</v>
      </c>
      <c r="E15" s="40">
        <v>18</v>
      </c>
      <c r="F15" s="41">
        <f t="shared" si="0"/>
        <v>0.5</v>
      </c>
      <c r="G15" s="42">
        <f t="shared" si="1"/>
        <v>0.5</v>
      </c>
      <c r="H15" s="43">
        <f t="shared" si="2"/>
        <v>1.5</v>
      </c>
      <c r="I15" s="35" t="b">
        <v>0</v>
      </c>
      <c r="J15" s="36" t="b">
        <v>0</v>
      </c>
      <c r="K15" s="37" t="b">
        <v>0</v>
      </c>
      <c r="L15" s="22" t="b">
        <v>1</v>
      </c>
      <c r="M15" s="22" t="b">
        <v>0</v>
      </c>
    </row>
    <row r="16" spans="1:13" ht="15" thickBot="1" x14ac:dyDescent="0.4">
      <c r="A16" s="12">
        <f t="shared" si="3"/>
        <v>15</v>
      </c>
      <c r="B16" s="44" t="s">
        <v>27</v>
      </c>
      <c r="C16" s="45">
        <v>3</v>
      </c>
      <c r="D16" s="46">
        <v>2.5</v>
      </c>
      <c r="E16" s="46">
        <v>18</v>
      </c>
      <c r="F16" s="47">
        <f t="shared" si="0"/>
        <v>1.5</v>
      </c>
      <c r="G16" s="48">
        <f t="shared" si="1"/>
        <v>0.5</v>
      </c>
      <c r="H16" s="49">
        <f t="shared" si="2"/>
        <v>4.5</v>
      </c>
      <c r="I16" s="50" t="b">
        <v>0</v>
      </c>
      <c r="J16" s="51" t="b">
        <v>0</v>
      </c>
      <c r="K16" s="52" t="b">
        <v>0</v>
      </c>
      <c r="L16" s="22" t="b">
        <v>1</v>
      </c>
      <c r="M16" s="22" t="b">
        <v>0</v>
      </c>
    </row>
    <row r="17" spans="1:13" ht="15" thickBot="1" x14ac:dyDescent="0.4">
      <c r="A17" s="12">
        <f t="shared" si="3"/>
        <v>16</v>
      </c>
      <c r="B17" s="29" t="s">
        <v>28</v>
      </c>
      <c r="C17" s="30">
        <v>1</v>
      </c>
      <c r="D17" s="31">
        <v>2.5</v>
      </c>
      <c r="E17" s="31">
        <v>18</v>
      </c>
      <c r="F17" s="32">
        <f t="shared" si="0"/>
        <v>0.5</v>
      </c>
      <c r="G17" s="33">
        <f t="shared" si="1"/>
        <v>0.5</v>
      </c>
      <c r="H17" s="34">
        <f t="shared" si="2"/>
        <v>1.5</v>
      </c>
      <c r="I17" s="35" t="b">
        <v>0</v>
      </c>
      <c r="J17" s="36" t="b">
        <v>0</v>
      </c>
      <c r="K17" s="37" t="b">
        <v>0</v>
      </c>
      <c r="L17" s="22" t="b">
        <v>0</v>
      </c>
      <c r="M17" s="22" t="b">
        <v>1</v>
      </c>
    </row>
    <row r="18" spans="1:13" ht="15" thickBot="1" x14ac:dyDescent="0.4">
      <c r="A18" s="12">
        <f t="shared" si="3"/>
        <v>17</v>
      </c>
      <c r="B18" s="38" t="s">
        <v>29</v>
      </c>
      <c r="C18" s="39">
        <v>1</v>
      </c>
      <c r="D18" s="40">
        <v>2.5</v>
      </c>
      <c r="E18" s="40">
        <v>18</v>
      </c>
      <c r="F18" s="41">
        <f t="shared" si="0"/>
        <v>0.5</v>
      </c>
      <c r="G18" s="42">
        <f t="shared" si="1"/>
        <v>0.5</v>
      </c>
      <c r="H18" s="43">
        <f t="shared" si="2"/>
        <v>1.5</v>
      </c>
      <c r="I18" s="35" t="b">
        <v>0</v>
      </c>
      <c r="J18" s="36" t="b">
        <v>0</v>
      </c>
      <c r="K18" s="37" t="b">
        <v>0</v>
      </c>
      <c r="L18" s="22" t="b">
        <v>0</v>
      </c>
      <c r="M18" s="22" t="b">
        <v>1</v>
      </c>
    </row>
    <row r="19" spans="1:13" ht="15" thickBot="1" x14ac:dyDescent="0.4">
      <c r="A19" s="12">
        <f t="shared" si="3"/>
        <v>18</v>
      </c>
      <c r="B19" s="38" t="s">
        <v>30</v>
      </c>
      <c r="C19" s="39">
        <v>10</v>
      </c>
      <c r="D19" s="40">
        <v>2.5</v>
      </c>
      <c r="E19" s="40">
        <v>18</v>
      </c>
      <c r="F19" s="41">
        <f t="shared" si="0"/>
        <v>5</v>
      </c>
      <c r="G19" s="42">
        <f t="shared" si="1"/>
        <v>0.5</v>
      </c>
      <c r="H19" s="43">
        <f t="shared" si="2"/>
        <v>15</v>
      </c>
      <c r="I19" s="35" t="b">
        <v>0</v>
      </c>
      <c r="J19" s="36" t="b">
        <v>0</v>
      </c>
      <c r="K19" s="37" t="b">
        <v>0</v>
      </c>
      <c r="L19" s="22" t="b">
        <v>0</v>
      </c>
      <c r="M19" s="22" t="b">
        <v>1</v>
      </c>
    </row>
    <row r="20" spans="1:13" ht="15" thickBot="1" x14ac:dyDescent="0.4">
      <c r="A20" s="12">
        <f t="shared" si="3"/>
        <v>19</v>
      </c>
      <c r="B20" s="13" t="s">
        <v>31</v>
      </c>
      <c r="C20" s="14">
        <v>9</v>
      </c>
      <c r="D20" s="15">
        <v>2.5</v>
      </c>
      <c r="E20" s="15">
        <v>18</v>
      </c>
      <c r="F20" s="16">
        <f t="shared" si="0"/>
        <v>4.5</v>
      </c>
      <c r="G20" s="17">
        <f t="shared" si="1"/>
        <v>0.5</v>
      </c>
      <c r="H20" s="18">
        <f t="shared" si="2"/>
        <v>13.5</v>
      </c>
      <c r="I20" s="19" t="b">
        <v>0</v>
      </c>
      <c r="J20" s="20" t="b">
        <v>0</v>
      </c>
      <c r="K20" s="21" t="b">
        <v>0</v>
      </c>
      <c r="L20" s="22" t="b">
        <v>0</v>
      </c>
      <c r="M20" s="22" t="b">
        <v>1</v>
      </c>
    </row>
    <row r="21" spans="1:13" ht="15" thickBot="1" x14ac:dyDescent="0.4">
      <c r="A21" s="12">
        <f t="shared" si="3"/>
        <v>20</v>
      </c>
      <c r="B21" s="29" t="s">
        <v>32</v>
      </c>
      <c r="C21" s="30">
        <v>1</v>
      </c>
      <c r="D21" s="31">
        <v>2.5</v>
      </c>
      <c r="E21" s="31">
        <v>18</v>
      </c>
      <c r="F21" s="32">
        <f t="shared" si="0"/>
        <v>0.5</v>
      </c>
      <c r="G21" s="33">
        <f t="shared" si="1"/>
        <v>0.5</v>
      </c>
      <c r="H21" s="34">
        <f t="shared" si="2"/>
        <v>1.5</v>
      </c>
      <c r="I21" s="35" t="b">
        <v>0</v>
      </c>
      <c r="J21" s="36" t="b">
        <v>0</v>
      </c>
      <c r="K21" s="37" t="b">
        <v>0</v>
      </c>
      <c r="L21" s="22" t="b">
        <v>0</v>
      </c>
      <c r="M21" s="22" t="b">
        <v>1</v>
      </c>
    </row>
    <row r="22" spans="1:13" ht="15" thickBot="1" x14ac:dyDescent="0.4">
      <c r="A22" s="12">
        <f t="shared" si="3"/>
        <v>21</v>
      </c>
      <c r="B22" s="38" t="s">
        <v>33</v>
      </c>
      <c r="C22" s="39">
        <v>1</v>
      </c>
      <c r="D22" s="40">
        <v>2.5</v>
      </c>
      <c r="E22" s="40">
        <v>18</v>
      </c>
      <c r="F22" s="41">
        <f t="shared" si="0"/>
        <v>0.5</v>
      </c>
      <c r="G22" s="42">
        <f t="shared" si="1"/>
        <v>0.5</v>
      </c>
      <c r="H22" s="43">
        <f t="shared" si="2"/>
        <v>1.5</v>
      </c>
      <c r="I22" s="35" t="b">
        <v>0</v>
      </c>
      <c r="J22" s="36" t="b">
        <v>0</v>
      </c>
      <c r="K22" s="37" t="b">
        <v>0</v>
      </c>
      <c r="L22" s="22" t="b">
        <v>0</v>
      </c>
      <c r="M22" s="22" t="b">
        <v>1</v>
      </c>
    </row>
    <row r="23" spans="1:13" ht="15" thickBot="1" x14ac:dyDescent="0.4">
      <c r="A23" s="12">
        <f t="shared" si="3"/>
        <v>22</v>
      </c>
      <c r="B23" s="38" t="s">
        <v>34</v>
      </c>
      <c r="C23" s="39">
        <v>28</v>
      </c>
      <c r="D23" s="40">
        <v>2.5</v>
      </c>
      <c r="E23" s="40">
        <v>18</v>
      </c>
      <c r="F23" s="41">
        <f t="shared" si="0"/>
        <v>14</v>
      </c>
      <c r="G23" s="42">
        <f t="shared" si="1"/>
        <v>0.5</v>
      </c>
      <c r="H23" s="43">
        <f t="shared" si="2"/>
        <v>42</v>
      </c>
      <c r="I23" s="35" t="b">
        <v>0</v>
      </c>
      <c r="J23" s="36" t="b">
        <v>0</v>
      </c>
      <c r="K23" s="37" t="b">
        <v>0</v>
      </c>
      <c r="L23" s="22" t="b">
        <v>0</v>
      </c>
      <c r="M23" s="22" t="b">
        <v>1</v>
      </c>
    </row>
    <row r="24" spans="1:13" ht="15" thickBot="1" x14ac:dyDescent="0.4">
      <c r="A24" s="12">
        <f t="shared" si="3"/>
        <v>23</v>
      </c>
      <c r="B24" s="13" t="s">
        <v>35</v>
      </c>
      <c r="C24" s="14">
        <v>26</v>
      </c>
      <c r="D24" s="15">
        <v>2.5</v>
      </c>
      <c r="E24" s="15">
        <v>18</v>
      </c>
      <c r="F24" s="16">
        <f t="shared" si="0"/>
        <v>13</v>
      </c>
      <c r="G24" s="17">
        <f t="shared" si="1"/>
        <v>0.5</v>
      </c>
      <c r="H24" s="18">
        <f>C24+F24</f>
        <v>39</v>
      </c>
      <c r="I24" s="19" t="b">
        <v>0</v>
      </c>
      <c r="J24" s="20" t="b">
        <v>0</v>
      </c>
      <c r="K24" s="21" t="b">
        <v>0</v>
      </c>
      <c r="L24" s="22" t="b">
        <v>0</v>
      </c>
      <c r="M24" s="22" t="b">
        <v>1</v>
      </c>
    </row>
    <row r="25" spans="1:13" ht="15" thickBot="1" x14ac:dyDescent="0.4">
      <c r="A25" s="12">
        <f t="shared" si="3"/>
        <v>24</v>
      </c>
      <c r="B25" s="53" t="s">
        <v>36</v>
      </c>
      <c r="C25" s="30">
        <v>1</v>
      </c>
      <c r="D25" s="31">
        <v>2.5</v>
      </c>
      <c r="E25" s="31">
        <v>18</v>
      </c>
      <c r="F25" s="32">
        <f t="shared" si="0"/>
        <v>0.5</v>
      </c>
      <c r="G25" s="33">
        <f t="shared" si="1"/>
        <v>0.5</v>
      </c>
      <c r="H25" s="34">
        <f t="shared" si="2"/>
        <v>1.5</v>
      </c>
      <c r="I25" s="35" t="b">
        <v>0</v>
      </c>
      <c r="J25" s="36" t="b">
        <v>0</v>
      </c>
      <c r="K25" s="37" t="b">
        <v>0</v>
      </c>
      <c r="L25" s="22" t="b">
        <v>0</v>
      </c>
      <c r="M25" s="22" t="b">
        <v>0</v>
      </c>
    </row>
    <row r="26" spans="1:13" ht="15" thickBot="1" x14ac:dyDescent="0.4">
      <c r="A26" s="12">
        <f t="shared" si="3"/>
        <v>25</v>
      </c>
      <c r="B26" s="38" t="s">
        <v>37</v>
      </c>
      <c r="C26" s="39">
        <v>1</v>
      </c>
      <c r="D26" s="40">
        <v>2.5</v>
      </c>
      <c r="E26" s="40">
        <v>18</v>
      </c>
      <c r="F26" s="41">
        <f t="shared" si="0"/>
        <v>0.5</v>
      </c>
      <c r="G26" s="42">
        <f t="shared" si="1"/>
        <v>0.5</v>
      </c>
      <c r="H26" s="43">
        <f t="shared" si="2"/>
        <v>1.5</v>
      </c>
      <c r="I26" s="35" t="b">
        <v>0</v>
      </c>
      <c r="J26" s="36" t="b">
        <v>0</v>
      </c>
      <c r="K26" s="37" t="b">
        <v>0</v>
      </c>
      <c r="L26" s="22" t="b">
        <v>0</v>
      </c>
      <c r="M26" s="22" t="b">
        <v>0</v>
      </c>
    </row>
    <row r="27" spans="1:13" ht="15" thickBot="1" x14ac:dyDescent="0.4">
      <c r="A27" s="12">
        <f t="shared" si="3"/>
        <v>26</v>
      </c>
      <c r="B27" s="54" t="s">
        <v>38</v>
      </c>
      <c r="C27" s="14">
        <v>44</v>
      </c>
      <c r="D27" s="15">
        <v>2.5</v>
      </c>
      <c r="E27" s="15">
        <v>18</v>
      </c>
      <c r="F27" s="16">
        <f t="shared" si="0"/>
        <v>22</v>
      </c>
      <c r="G27" s="17">
        <f t="shared" si="1"/>
        <v>0.5</v>
      </c>
      <c r="H27" s="18">
        <f t="shared" si="2"/>
        <v>66</v>
      </c>
      <c r="I27" s="19" t="b">
        <v>0</v>
      </c>
      <c r="J27" s="20" t="b">
        <v>0</v>
      </c>
      <c r="K27" s="21" t="b">
        <v>0</v>
      </c>
      <c r="L27" s="22" t="b">
        <v>0</v>
      </c>
      <c r="M27" s="22" t="b">
        <v>0</v>
      </c>
    </row>
    <row r="28" spans="1:13" ht="15" thickBot="1" x14ac:dyDescent="0.4">
      <c r="A28" s="12">
        <f t="shared" si="3"/>
        <v>27</v>
      </c>
      <c r="B28" s="55" t="s">
        <v>39</v>
      </c>
      <c r="C28" s="56">
        <v>2</v>
      </c>
      <c r="D28" s="25">
        <v>2.5</v>
      </c>
      <c r="E28" s="25">
        <v>18</v>
      </c>
      <c r="F28" s="26">
        <f t="shared" si="0"/>
        <v>1</v>
      </c>
      <c r="G28" s="27">
        <f t="shared" si="1"/>
        <v>0.5</v>
      </c>
      <c r="H28" s="28">
        <f t="shared" si="2"/>
        <v>3</v>
      </c>
      <c r="I28" s="19" t="b">
        <v>0</v>
      </c>
      <c r="J28" s="20" t="s">
        <v>40</v>
      </c>
      <c r="K28" s="21" t="b">
        <v>0</v>
      </c>
      <c r="L28" s="22" t="b">
        <v>0</v>
      </c>
      <c r="M28" s="22" t="b">
        <v>0</v>
      </c>
    </row>
    <row r="29" spans="1:13" ht="15" thickBot="1" x14ac:dyDescent="0.4">
      <c r="A29" s="12">
        <f t="shared" si="3"/>
        <v>28</v>
      </c>
      <c r="B29" s="55" t="s">
        <v>119</v>
      </c>
      <c r="C29" s="56">
        <v>5</v>
      </c>
      <c r="D29" s="25">
        <v>2.5</v>
      </c>
      <c r="E29" s="25">
        <v>18</v>
      </c>
      <c r="F29" s="26">
        <v>5</v>
      </c>
      <c r="G29" s="27">
        <f t="shared" si="1"/>
        <v>1</v>
      </c>
      <c r="H29" s="28">
        <f t="shared" si="2"/>
        <v>10</v>
      </c>
      <c r="I29" s="19" t="b">
        <v>1</v>
      </c>
      <c r="J29" s="20" t="b">
        <v>0</v>
      </c>
      <c r="K29" s="21" t="b">
        <v>0</v>
      </c>
      <c r="L29" s="22" t="b">
        <v>0</v>
      </c>
      <c r="M29" s="22" t="b">
        <v>0</v>
      </c>
    </row>
    <row r="30" spans="1:13" ht="15" thickBot="1" x14ac:dyDescent="0.4">
      <c r="A30" s="12">
        <f t="shared" si="3"/>
        <v>29</v>
      </c>
      <c r="B30" s="57" t="s">
        <v>41</v>
      </c>
      <c r="C30" s="58">
        <v>5</v>
      </c>
      <c r="D30" s="31">
        <v>2.5</v>
      </c>
      <c r="E30" s="31">
        <v>18</v>
      </c>
      <c r="F30" s="32">
        <v>5</v>
      </c>
      <c r="G30" s="33">
        <f t="shared" si="1"/>
        <v>1</v>
      </c>
      <c r="H30" s="34">
        <f t="shared" si="2"/>
        <v>10</v>
      </c>
      <c r="I30" s="35" t="b">
        <v>0</v>
      </c>
      <c r="J30" s="36" t="b">
        <v>0</v>
      </c>
      <c r="K30" s="37" t="s">
        <v>14</v>
      </c>
      <c r="L30" s="22" t="b">
        <v>0</v>
      </c>
      <c r="M30" s="22" t="b">
        <v>0</v>
      </c>
    </row>
    <row r="31" spans="1:13" ht="15" thickBot="1" x14ac:dyDescent="0.4">
      <c r="A31" s="12">
        <f t="shared" si="3"/>
        <v>30</v>
      </c>
      <c r="B31" s="59" t="s">
        <v>42</v>
      </c>
      <c r="C31" s="60">
        <v>1</v>
      </c>
      <c r="D31" s="40">
        <v>6</v>
      </c>
      <c r="E31" s="40">
        <v>18</v>
      </c>
      <c r="F31" s="41">
        <f t="shared" ref="F31:F62" si="4">C31/2</f>
        <v>0.5</v>
      </c>
      <c r="G31" s="42">
        <f t="shared" si="1"/>
        <v>0.5</v>
      </c>
      <c r="H31" s="43">
        <f t="shared" si="2"/>
        <v>1.5</v>
      </c>
      <c r="I31" s="35" t="b">
        <v>0</v>
      </c>
      <c r="J31" s="36" t="b">
        <v>0</v>
      </c>
      <c r="K31" s="37" t="b">
        <v>0</v>
      </c>
      <c r="L31" s="22" t="b">
        <v>0</v>
      </c>
      <c r="M31" s="22" t="b">
        <v>0</v>
      </c>
    </row>
    <row r="32" spans="1:13" ht="15" thickBot="1" x14ac:dyDescent="0.4">
      <c r="A32" s="12">
        <f t="shared" si="3"/>
        <v>31</v>
      </c>
      <c r="B32" s="59" t="s">
        <v>43</v>
      </c>
      <c r="C32" s="60">
        <v>1</v>
      </c>
      <c r="D32" s="40">
        <v>6</v>
      </c>
      <c r="E32" s="40">
        <v>18</v>
      </c>
      <c r="F32" s="41">
        <f t="shared" si="4"/>
        <v>0.5</v>
      </c>
      <c r="G32" s="42">
        <f t="shared" si="1"/>
        <v>0.5</v>
      </c>
      <c r="H32" s="43">
        <f t="shared" si="2"/>
        <v>1.5</v>
      </c>
      <c r="I32" s="35" t="b">
        <v>0</v>
      </c>
      <c r="J32" s="36" t="b">
        <v>0</v>
      </c>
      <c r="K32" s="37" t="b">
        <v>0</v>
      </c>
      <c r="L32" s="22" t="b">
        <v>0</v>
      </c>
      <c r="M32" s="22" t="b">
        <v>0</v>
      </c>
    </row>
    <row r="33" spans="1:13" ht="15" thickBot="1" x14ac:dyDescent="0.4">
      <c r="A33" s="12">
        <f t="shared" si="3"/>
        <v>32</v>
      </c>
      <c r="B33" s="59" t="s">
        <v>44</v>
      </c>
      <c r="C33" s="60">
        <v>1</v>
      </c>
      <c r="D33" s="40">
        <v>6</v>
      </c>
      <c r="E33" s="40">
        <v>18</v>
      </c>
      <c r="F33" s="41">
        <f t="shared" si="4"/>
        <v>0.5</v>
      </c>
      <c r="G33" s="42">
        <f t="shared" si="1"/>
        <v>0.5</v>
      </c>
      <c r="H33" s="43">
        <f t="shared" si="2"/>
        <v>1.5</v>
      </c>
      <c r="I33" s="35" t="b">
        <v>0</v>
      </c>
      <c r="J33" s="36" t="b">
        <v>0</v>
      </c>
      <c r="K33" s="37" t="b">
        <v>0</v>
      </c>
      <c r="L33" s="22" t="b">
        <v>0</v>
      </c>
      <c r="M33" s="22" t="b">
        <v>0</v>
      </c>
    </row>
    <row r="34" spans="1:13" ht="15" thickBot="1" x14ac:dyDescent="0.4">
      <c r="A34" s="12">
        <f t="shared" si="3"/>
        <v>33</v>
      </c>
      <c r="B34" s="61" t="s">
        <v>45</v>
      </c>
      <c r="C34" s="62">
        <v>0.5</v>
      </c>
      <c r="D34" s="15">
        <v>6</v>
      </c>
      <c r="E34" s="15">
        <v>18</v>
      </c>
      <c r="F34" s="16">
        <f t="shared" si="4"/>
        <v>0.25</v>
      </c>
      <c r="G34" s="17">
        <f t="shared" si="1"/>
        <v>0.5</v>
      </c>
      <c r="H34" s="18">
        <f t="shared" si="2"/>
        <v>0.75</v>
      </c>
      <c r="I34" s="19" t="b">
        <v>0</v>
      </c>
      <c r="J34" s="20" t="b">
        <v>0</v>
      </c>
      <c r="K34" s="21" t="b">
        <v>0</v>
      </c>
      <c r="L34" s="22" t="b">
        <v>0</v>
      </c>
      <c r="M34" s="22" t="b">
        <v>0</v>
      </c>
    </row>
    <row r="35" spans="1:13" ht="15" thickBot="1" x14ac:dyDescent="0.4">
      <c r="A35" s="12">
        <f t="shared" si="3"/>
        <v>34</v>
      </c>
      <c r="B35" s="63" t="s">
        <v>46</v>
      </c>
      <c r="C35" s="64">
        <v>2</v>
      </c>
      <c r="D35" s="25">
        <v>6</v>
      </c>
      <c r="E35" s="25">
        <v>18</v>
      </c>
      <c r="F35" s="26">
        <f t="shared" si="4"/>
        <v>1</v>
      </c>
      <c r="G35" s="27">
        <f t="shared" si="1"/>
        <v>0.5</v>
      </c>
      <c r="H35" s="28">
        <f t="shared" si="2"/>
        <v>3</v>
      </c>
      <c r="I35" s="19" t="b">
        <v>0</v>
      </c>
      <c r="J35" s="20" t="b">
        <v>0</v>
      </c>
      <c r="K35" s="21" t="b">
        <v>0</v>
      </c>
      <c r="L35" s="22" t="b">
        <v>0</v>
      </c>
      <c r="M35" s="22" t="b">
        <v>0</v>
      </c>
    </row>
    <row r="36" spans="1:13" ht="15" thickBot="1" x14ac:dyDescent="0.4">
      <c r="A36" s="12">
        <f t="shared" si="3"/>
        <v>35</v>
      </c>
      <c r="B36" s="63" t="s">
        <v>47</v>
      </c>
      <c r="C36" s="64">
        <v>0.5</v>
      </c>
      <c r="D36" s="25">
        <v>6</v>
      </c>
      <c r="E36" s="25">
        <v>18</v>
      </c>
      <c r="F36" s="26">
        <f t="shared" si="4"/>
        <v>0.25</v>
      </c>
      <c r="G36" s="27">
        <f t="shared" si="1"/>
        <v>0.5</v>
      </c>
      <c r="H36" s="28">
        <f t="shared" si="2"/>
        <v>0.75</v>
      </c>
      <c r="I36" s="19" t="b">
        <v>0</v>
      </c>
      <c r="J36" s="20" t="b">
        <v>0</v>
      </c>
      <c r="K36" s="21" t="b">
        <v>0</v>
      </c>
      <c r="L36" s="22" t="b">
        <v>0</v>
      </c>
      <c r="M36" s="22" t="b">
        <v>0</v>
      </c>
    </row>
    <row r="37" spans="1:13" ht="15" thickBot="1" x14ac:dyDescent="0.4">
      <c r="A37" s="12">
        <f t="shared" si="3"/>
        <v>36</v>
      </c>
      <c r="B37" s="65" t="s">
        <v>48</v>
      </c>
      <c r="C37" s="66">
        <v>0.5</v>
      </c>
      <c r="D37" s="31">
        <v>6</v>
      </c>
      <c r="E37" s="31">
        <v>18</v>
      </c>
      <c r="F37" s="32">
        <f t="shared" si="4"/>
        <v>0.25</v>
      </c>
      <c r="G37" s="33">
        <f t="shared" si="1"/>
        <v>0.5</v>
      </c>
      <c r="H37" s="34">
        <f t="shared" si="2"/>
        <v>0.75</v>
      </c>
      <c r="I37" s="35" t="b">
        <v>0</v>
      </c>
      <c r="J37" s="36" t="b">
        <v>0</v>
      </c>
      <c r="K37" s="37" t="b">
        <v>0</v>
      </c>
      <c r="L37" s="22" t="b">
        <v>0</v>
      </c>
      <c r="M37" s="22" t="b">
        <v>0</v>
      </c>
    </row>
    <row r="38" spans="1:13" ht="15" thickBot="1" x14ac:dyDescent="0.4">
      <c r="A38" s="12">
        <f t="shared" si="3"/>
        <v>37</v>
      </c>
      <c r="B38" s="59" t="s">
        <v>49</v>
      </c>
      <c r="C38" s="60">
        <v>0.5</v>
      </c>
      <c r="D38" s="31">
        <v>6</v>
      </c>
      <c r="E38" s="31">
        <v>18</v>
      </c>
      <c r="F38" s="41">
        <f t="shared" si="4"/>
        <v>0.25</v>
      </c>
      <c r="G38" s="42">
        <f t="shared" si="1"/>
        <v>0.5</v>
      </c>
      <c r="H38" s="43">
        <f t="shared" si="2"/>
        <v>0.75</v>
      </c>
      <c r="I38" s="35" t="b">
        <v>0</v>
      </c>
      <c r="J38" s="36" t="b">
        <v>0</v>
      </c>
      <c r="K38" s="37" t="b">
        <v>0</v>
      </c>
      <c r="L38" s="22" t="b">
        <v>0</v>
      </c>
      <c r="M38" s="22" t="b">
        <v>0</v>
      </c>
    </row>
    <row r="39" spans="1:13" ht="15" thickBot="1" x14ac:dyDescent="0.4">
      <c r="A39" s="12">
        <f t="shared" si="3"/>
        <v>38</v>
      </c>
      <c r="B39" s="59" t="s">
        <v>50</v>
      </c>
      <c r="C39" s="60">
        <v>0.5</v>
      </c>
      <c r="D39" s="31">
        <v>6</v>
      </c>
      <c r="E39" s="31">
        <v>18</v>
      </c>
      <c r="F39" s="41">
        <f t="shared" si="4"/>
        <v>0.25</v>
      </c>
      <c r="G39" s="42">
        <f t="shared" si="1"/>
        <v>0.5</v>
      </c>
      <c r="H39" s="43">
        <f t="shared" si="2"/>
        <v>0.75</v>
      </c>
      <c r="I39" s="35" t="b">
        <v>0</v>
      </c>
      <c r="J39" s="36" t="b">
        <v>0</v>
      </c>
      <c r="K39" s="37" t="b">
        <v>0</v>
      </c>
      <c r="L39" s="22" t="b">
        <v>0</v>
      </c>
      <c r="M39" s="22" t="b">
        <v>0</v>
      </c>
    </row>
    <row r="40" spans="1:13" ht="15" thickBot="1" x14ac:dyDescent="0.4">
      <c r="A40" s="12">
        <f t="shared" si="3"/>
        <v>39</v>
      </c>
      <c r="B40" s="59" t="s">
        <v>51</v>
      </c>
      <c r="C40" s="60">
        <v>0.5</v>
      </c>
      <c r="D40" s="31">
        <v>6</v>
      </c>
      <c r="E40" s="31">
        <v>18</v>
      </c>
      <c r="F40" s="41">
        <f t="shared" si="4"/>
        <v>0.25</v>
      </c>
      <c r="G40" s="42">
        <f t="shared" si="1"/>
        <v>0.5</v>
      </c>
      <c r="H40" s="43">
        <f t="shared" si="2"/>
        <v>0.75</v>
      </c>
      <c r="I40" s="35" t="b">
        <v>0</v>
      </c>
      <c r="J40" s="36" t="b">
        <v>0</v>
      </c>
      <c r="K40" s="37" t="b">
        <v>0</v>
      </c>
      <c r="L40" s="22" t="b">
        <v>0</v>
      </c>
      <c r="M40" s="22" t="b">
        <v>0</v>
      </c>
    </row>
    <row r="41" spans="1:13" ht="15" thickBot="1" x14ac:dyDescent="0.4">
      <c r="A41" s="12">
        <f t="shared" si="3"/>
        <v>40</v>
      </c>
      <c r="B41" s="59" t="s">
        <v>52</v>
      </c>
      <c r="C41" s="60">
        <v>2</v>
      </c>
      <c r="D41" s="31">
        <v>6</v>
      </c>
      <c r="E41" s="31">
        <v>18</v>
      </c>
      <c r="F41" s="41">
        <f t="shared" si="4"/>
        <v>1</v>
      </c>
      <c r="G41" s="42">
        <f t="shared" si="1"/>
        <v>0.5</v>
      </c>
      <c r="H41" s="43">
        <f t="shared" si="2"/>
        <v>3</v>
      </c>
      <c r="I41" s="35" t="b">
        <v>0</v>
      </c>
      <c r="J41" s="36" t="b">
        <v>0</v>
      </c>
      <c r="K41" s="37" t="b">
        <v>0</v>
      </c>
      <c r="L41" s="22" t="b">
        <v>0</v>
      </c>
      <c r="M41" s="22" t="b">
        <v>0</v>
      </c>
    </row>
    <row r="42" spans="1:13" ht="15" thickBot="1" x14ac:dyDescent="0.4">
      <c r="A42" s="12">
        <f t="shared" si="3"/>
        <v>41</v>
      </c>
      <c r="B42" s="59" t="s">
        <v>53</v>
      </c>
      <c r="C42" s="60">
        <v>1</v>
      </c>
      <c r="D42" s="31">
        <v>6</v>
      </c>
      <c r="E42" s="31">
        <v>18</v>
      </c>
      <c r="F42" s="41">
        <f t="shared" si="4"/>
        <v>0.5</v>
      </c>
      <c r="G42" s="42">
        <f t="shared" si="1"/>
        <v>0.5</v>
      </c>
      <c r="H42" s="43">
        <f t="shared" si="2"/>
        <v>1.5</v>
      </c>
      <c r="I42" s="35" t="b">
        <v>0</v>
      </c>
      <c r="J42" s="36" t="b">
        <v>0</v>
      </c>
      <c r="K42" s="37" t="b">
        <v>0</v>
      </c>
      <c r="L42" s="22" t="b">
        <v>0</v>
      </c>
      <c r="M42" s="22" t="b">
        <v>0</v>
      </c>
    </row>
    <row r="43" spans="1:13" ht="15" thickBot="1" x14ac:dyDescent="0.4">
      <c r="A43" s="12">
        <f t="shared" si="3"/>
        <v>42</v>
      </c>
      <c r="B43" s="61" t="s">
        <v>54</v>
      </c>
      <c r="C43" s="62">
        <v>0.5</v>
      </c>
      <c r="D43" s="15">
        <v>6</v>
      </c>
      <c r="E43" s="15">
        <v>18</v>
      </c>
      <c r="F43" s="16">
        <f t="shared" si="4"/>
        <v>0.25</v>
      </c>
      <c r="G43" s="17">
        <f t="shared" si="1"/>
        <v>0.5</v>
      </c>
      <c r="H43" s="18">
        <f t="shared" si="2"/>
        <v>0.75</v>
      </c>
      <c r="I43" s="19" t="b">
        <v>0</v>
      </c>
      <c r="J43" s="20" t="b">
        <v>0</v>
      </c>
      <c r="K43" s="21" t="b">
        <v>0</v>
      </c>
      <c r="L43" s="22" t="b">
        <v>0</v>
      </c>
      <c r="M43" s="22" t="b">
        <v>0</v>
      </c>
    </row>
    <row r="44" spans="1:13" ht="15" thickBot="1" x14ac:dyDescent="0.4">
      <c r="A44" s="12">
        <f t="shared" si="3"/>
        <v>43</v>
      </c>
      <c r="B44" s="65" t="s">
        <v>55</v>
      </c>
      <c r="C44" s="66">
        <v>0.5</v>
      </c>
      <c r="D44" s="31">
        <v>6</v>
      </c>
      <c r="E44" s="31">
        <v>18</v>
      </c>
      <c r="F44" s="32">
        <f t="shared" si="4"/>
        <v>0.25</v>
      </c>
      <c r="G44" s="33">
        <f t="shared" si="1"/>
        <v>0.5</v>
      </c>
      <c r="H44" s="34">
        <f t="shared" si="2"/>
        <v>0.75</v>
      </c>
      <c r="I44" s="35" t="b">
        <v>0</v>
      </c>
      <c r="J44" s="36" t="b">
        <v>0</v>
      </c>
      <c r="K44" s="37" t="b">
        <v>0</v>
      </c>
      <c r="L44" s="22" t="b">
        <v>0</v>
      </c>
      <c r="M44" s="22" t="b">
        <v>0</v>
      </c>
    </row>
    <row r="45" spans="1:13" ht="15" thickBot="1" x14ac:dyDescent="0.4">
      <c r="A45" s="12">
        <f t="shared" si="3"/>
        <v>44</v>
      </c>
      <c r="B45" s="59" t="s">
        <v>56</v>
      </c>
      <c r="C45" s="60">
        <v>0.5</v>
      </c>
      <c r="D45" s="31">
        <v>6</v>
      </c>
      <c r="E45" s="31">
        <v>18</v>
      </c>
      <c r="F45" s="41">
        <f t="shared" si="4"/>
        <v>0.25</v>
      </c>
      <c r="G45" s="42">
        <f t="shared" si="1"/>
        <v>0.5</v>
      </c>
      <c r="H45" s="43">
        <f t="shared" si="2"/>
        <v>0.75</v>
      </c>
      <c r="I45" s="35" t="b">
        <v>0</v>
      </c>
      <c r="J45" s="36" t="b">
        <v>0</v>
      </c>
      <c r="K45" s="37" t="b">
        <v>0</v>
      </c>
      <c r="L45" s="22" t="b">
        <v>0</v>
      </c>
      <c r="M45" s="22" t="b">
        <v>0</v>
      </c>
    </row>
    <row r="46" spans="1:13" ht="15" thickBot="1" x14ac:dyDescent="0.4">
      <c r="A46" s="12">
        <f t="shared" si="3"/>
        <v>45</v>
      </c>
      <c r="B46" s="59" t="s">
        <v>57</v>
      </c>
      <c r="C46" s="60">
        <v>0.5</v>
      </c>
      <c r="D46" s="31">
        <v>6</v>
      </c>
      <c r="E46" s="31">
        <v>18</v>
      </c>
      <c r="F46" s="41">
        <f t="shared" si="4"/>
        <v>0.25</v>
      </c>
      <c r="G46" s="42">
        <f t="shared" si="1"/>
        <v>0.5</v>
      </c>
      <c r="H46" s="43">
        <f t="shared" si="2"/>
        <v>0.75</v>
      </c>
      <c r="I46" s="35" t="b">
        <v>0</v>
      </c>
      <c r="J46" s="36" t="b">
        <v>0</v>
      </c>
      <c r="K46" s="37" t="b">
        <v>0</v>
      </c>
      <c r="L46" s="22" t="b">
        <v>0</v>
      </c>
      <c r="M46" s="22" t="b">
        <v>0</v>
      </c>
    </row>
    <row r="47" spans="1:13" ht="15" thickBot="1" x14ac:dyDescent="0.4">
      <c r="A47" s="12">
        <f t="shared" si="3"/>
        <v>46</v>
      </c>
      <c r="B47" s="59" t="s">
        <v>58</v>
      </c>
      <c r="C47" s="60">
        <v>0.5</v>
      </c>
      <c r="D47" s="31">
        <v>6</v>
      </c>
      <c r="E47" s="31">
        <v>18</v>
      </c>
      <c r="F47" s="41">
        <f t="shared" si="4"/>
        <v>0.25</v>
      </c>
      <c r="G47" s="42">
        <f t="shared" si="1"/>
        <v>0.5</v>
      </c>
      <c r="H47" s="43">
        <f t="shared" si="2"/>
        <v>0.75</v>
      </c>
      <c r="I47" s="35" t="b">
        <v>0</v>
      </c>
      <c r="J47" s="36" t="b">
        <v>0</v>
      </c>
      <c r="K47" s="37" t="b">
        <v>0</v>
      </c>
      <c r="L47" s="22" t="b">
        <v>0</v>
      </c>
      <c r="M47" s="22" t="b">
        <v>0</v>
      </c>
    </row>
    <row r="48" spans="1:13" ht="15" thickBot="1" x14ac:dyDescent="0.4">
      <c r="A48" s="12">
        <f t="shared" si="3"/>
        <v>47</v>
      </c>
      <c r="B48" s="61" t="s">
        <v>59</v>
      </c>
      <c r="C48" s="62">
        <v>1.5</v>
      </c>
      <c r="D48" s="15">
        <v>6</v>
      </c>
      <c r="E48" s="15">
        <v>18</v>
      </c>
      <c r="F48" s="16">
        <f t="shared" si="4"/>
        <v>0.75</v>
      </c>
      <c r="G48" s="17">
        <f t="shared" si="1"/>
        <v>0.5</v>
      </c>
      <c r="H48" s="18">
        <f t="shared" si="2"/>
        <v>2.25</v>
      </c>
      <c r="I48" s="19" t="b">
        <v>0</v>
      </c>
      <c r="J48" s="20" t="b">
        <v>0</v>
      </c>
      <c r="K48" s="21" t="b">
        <v>0</v>
      </c>
      <c r="L48" s="22" t="b">
        <v>0</v>
      </c>
      <c r="M48" s="22" t="b">
        <v>0</v>
      </c>
    </row>
    <row r="49" spans="1:13" ht="15" thickBot="1" x14ac:dyDescent="0.4">
      <c r="A49" s="12">
        <f t="shared" si="3"/>
        <v>48</v>
      </c>
      <c r="B49" s="65" t="s">
        <v>60</v>
      </c>
      <c r="C49" s="66">
        <v>0.5</v>
      </c>
      <c r="D49" s="31">
        <v>6</v>
      </c>
      <c r="E49" s="31">
        <v>18</v>
      </c>
      <c r="F49" s="32">
        <f t="shared" si="4"/>
        <v>0.25</v>
      </c>
      <c r="G49" s="33">
        <f t="shared" si="1"/>
        <v>0.5</v>
      </c>
      <c r="H49" s="34">
        <f t="shared" si="2"/>
        <v>0.75</v>
      </c>
      <c r="I49" s="35" t="b">
        <v>0</v>
      </c>
      <c r="J49" s="36" t="b">
        <v>0</v>
      </c>
      <c r="K49" s="37" t="b">
        <v>0</v>
      </c>
      <c r="L49" s="22" t="b">
        <v>0</v>
      </c>
      <c r="M49" s="22" t="b">
        <v>0</v>
      </c>
    </row>
    <row r="50" spans="1:13" ht="15" thickBot="1" x14ac:dyDescent="0.4">
      <c r="A50" s="12">
        <f t="shared" si="3"/>
        <v>49</v>
      </c>
      <c r="B50" s="59" t="s">
        <v>61</v>
      </c>
      <c r="C50" s="60">
        <v>0.5</v>
      </c>
      <c r="D50" s="31">
        <v>6</v>
      </c>
      <c r="E50" s="31">
        <v>18</v>
      </c>
      <c r="F50" s="41">
        <f t="shared" si="4"/>
        <v>0.25</v>
      </c>
      <c r="G50" s="42">
        <f t="shared" si="1"/>
        <v>0.5</v>
      </c>
      <c r="H50" s="43">
        <f t="shared" si="2"/>
        <v>0.75</v>
      </c>
      <c r="I50" s="35" t="b">
        <v>0</v>
      </c>
      <c r="J50" s="36" t="b">
        <v>0</v>
      </c>
      <c r="K50" s="37" t="b">
        <v>0</v>
      </c>
      <c r="L50" s="22" t="b">
        <v>0</v>
      </c>
      <c r="M50" s="22" t="b">
        <v>0</v>
      </c>
    </row>
    <row r="51" spans="1:13" ht="15" thickBot="1" x14ac:dyDescent="0.4">
      <c r="A51" s="12">
        <f t="shared" si="3"/>
        <v>50</v>
      </c>
      <c r="B51" s="59" t="s">
        <v>57</v>
      </c>
      <c r="C51" s="60">
        <v>0.5</v>
      </c>
      <c r="D51" s="31">
        <v>6</v>
      </c>
      <c r="E51" s="31">
        <v>18</v>
      </c>
      <c r="F51" s="41">
        <f t="shared" si="4"/>
        <v>0.25</v>
      </c>
      <c r="G51" s="42">
        <f t="shared" si="1"/>
        <v>0.5</v>
      </c>
      <c r="H51" s="43">
        <f t="shared" si="2"/>
        <v>0.75</v>
      </c>
      <c r="I51" s="35" t="b">
        <v>0</v>
      </c>
      <c r="J51" s="36" t="b">
        <v>0</v>
      </c>
      <c r="K51" s="37" t="b">
        <v>0</v>
      </c>
      <c r="L51" s="22" t="b">
        <v>0</v>
      </c>
      <c r="M51" s="22" t="b">
        <v>0</v>
      </c>
    </row>
    <row r="52" spans="1:13" ht="15" thickBot="1" x14ac:dyDescent="0.4">
      <c r="A52" s="12">
        <f t="shared" si="3"/>
        <v>51</v>
      </c>
      <c r="B52" s="59" t="s">
        <v>58</v>
      </c>
      <c r="C52" s="60">
        <v>0.5</v>
      </c>
      <c r="D52" s="31">
        <v>6</v>
      </c>
      <c r="E52" s="31">
        <v>18</v>
      </c>
      <c r="F52" s="41">
        <f t="shared" si="4"/>
        <v>0.25</v>
      </c>
      <c r="G52" s="42">
        <f t="shared" si="1"/>
        <v>0.5</v>
      </c>
      <c r="H52" s="43">
        <f t="shared" si="2"/>
        <v>0.75</v>
      </c>
      <c r="I52" s="35" t="b">
        <v>0</v>
      </c>
      <c r="J52" s="36" t="b">
        <v>0</v>
      </c>
      <c r="K52" s="37" t="b">
        <v>0</v>
      </c>
      <c r="L52" s="22" t="b">
        <v>0</v>
      </c>
      <c r="M52" s="22" t="b">
        <v>0</v>
      </c>
    </row>
    <row r="53" spans="1:13" ht="15" thickBot="1" x14ac:dyDescent="0.4">
      <c r="A53" s="12">
        <f t="shared" si="3"/>
        <v>52</v>
      </c>
      <c r="B53" s="61" t="s">
        <v>62</v>
      </c>
      <c r="C53" s="62">
        <v>1.5</v>
      </c>
      <c r="D53" s="15">
        <v>6</v>
      </c>
      <c r="E53" s="15">
        <v>18</v>
      </c>
      <c r="F53" s="16">
        <f t="shared" si="4"/>
        <v>0.75</v>
      </c>
      <c r="G53" s="17">
        <f t="shared" si="1"/>
        <v>0.5</v>
      </c>
      <c r="H53" s="18">
        <f t="shared" si="2"/>
        <v>2.25</v>
      </c>
      <c r="I53" s="19" t="b">
        <v>0</v>
      </c>
      <c r="J53" s="20" t="b">
        <v>0</v>
      </c>
      <c r="K53" s="21" t="b">
        <v>0</v>
      </c>
      <c r="L53" s="22" t="b">
        <v>0</v>
      </c>
      <c r="M53" s="22" t="b">
        <v>0</v>
      </c>
    </row>
    <row r="54" spans="1:13" ht="15" thickBot="1" x14ac:dyDescent="0.4">
      <c r="A54" s="12">
        <f t="shared" si="3"/>
        <v>53</v>
      </c>
      <c r="B54" s="65" t="s">
        <v>60</v>
      </c>
      <c r="C54" s="66">
        <v>0.5</v>
      </c>
      <c r="D54" s="31">
        <v>6</v>
      </c>
      <c r="E54" s="31">
        <v>18</v>
      </c>
      <c r="F54" s="32">
        <f t="shared" si="4"/>
        <v>0.25</v>
      </c>
      <c r="G54" s="33">
        <f t="shared" si="1"/>
        <v>0.5</v>
      </c>
      <c r="H54" s="34">
        <f t="shared" si="2"/>
        <v>0.75</v>
      </c>
      <c r="I54" s="35" t="b">
        <v>0</v>
      </c>
      <c r="J54" s="36" t="b">
        <v>0</v>
      </c>
      <c r="K54" s="37" t="b">
        <v>0</v>
      </c>
      <c r="L54" s="22" t="b">
        <v>0</v>
      </c>
      <c r="M54" s="22" t="b">
        <v>0</v>
      </c>
    </row>
    <row r="55" spans="1:13" ht="15" thickBot="1" x14ac:dyDescent="0.4">
      <c r="A55" s="12">
        <f t="shared" si="3"/>
        <v>54</v>
      </c>
      <c r="B55" s="59" t="s">
        <v>63</v>
      </c>
      <c r="C55" s="60">
        <v>0.5</v>
      </c>
      <c r="D55" s="31">
        <v>6</v>
      </c>
      <c r="E55" s="31">
        <v>18</v>
      </c>
      <c r="F55" s="41">
        <f t="shared" si="4"/>
        <v>0.25</v>
      </c>
      <c r="G55" s="42">
        <f t="shared" si="1"/>
        <v>0.5</v>
      </c>
      <c r="H55" s="43">
        <f t="shared" si="2"/>
        <v>0.75</v>
      </c>
      <c r="I55" s="35" t="b">
        <v>0</v>
      </c>
      <c r="J55" s="36" t="b">
        <v>0</v>
      </c>
      <c r="K55" s="37" t="b">
        <v>0</v>
      </c>
      <c r="L55" s="22" t="b">
        <v>0</v>
      </c>
      <c r="M55" s="22" t="b">
        <v>0</v>
      </c>
    </row>
    <row r="56" spans="1:13" ht="15" thickBot="1" x14ac:dyDescent="0.4">
      <c r="A56" s="12">
        <f t="shared" si="3"/>
        <v>55</v>
      </c>
      <c r="B56" s="59" t="s">
        <v>57</v>
      </c>
      <c r="C56" s="60">
        <v>0.5</v>
      </c>
      <c r="D56" s="31">
        <v>6</v>
      </c>
      <c r="E56" s="31">
        <v>18</v>
      </c>
      <c r="F56" s="41">
        <f t="shared" si="4"/>
        <v>0.25</v>
      </c>
      <c r="G56" s="42">
        <f t="shared" si="1"/>
        <v>0.5</v>
      </c>
      <c r="H56" s="43">
        <f t="shared" si="2"/>
        <v>0.75</v>
      </c>
      <c r="I56" s="35" t="b">
        <v>0</v>
      </c>
      <c r="J56" s="36" t="b">
        <v>0</v>
      </c>
      <c r="K56" s="37" t="b">
        <v>0</v>
      </c>
      <c r="L56" s="22" t="b">
        <v>0</v>
      </c>
      <c r="M56" s="22" t="b">
        <v>0</v>
      </c>
    </row>
    <row r="57" spans="1:13" ht="15" thickBot="1" x14ac:dyDescent="0.4">
      <c r="A57" s="12">
        <f t="shared" si="3"/>
        <v>56</v>
      </c>
      <c r="B57" s="59" t="s">
        <v>58</v>
      </c>
      <c r="C57" s="60">
        <v>0.5</v>
      </c>
      <c r="D57" s="31">
        <v>6</v>
      </c>
      <c r="E57" s="31">
        <v>18</v>
      </c>
      <c r="F57" s="41">
        <f t="shared" si="4"/>
        <v>0.25</v>
      </c>
      <c r="G57" s="42">
        <f t="shared" si="1"/>
        <v>0.5</v>
      </c>
      <c r="H57" s="43">
        <f t="shared" si="2"/>
        <v>0.75</v>
      </c>
      <c r="I57" s="35" t="b">
        <v>0</v>
      </c>
      <c r="J57" s="36" t="b">
        <v>0</v>
      </c>
      <c r="K57" s="37" t="b">
        <v>0</v>
      </c>
      <c r="L57" s="22" t="b">
        <v>0</v>
      </c>
      <c r="M57" s="22" t="b">
        <v>0</v>
      </c>
    </row>
    <row r="58" spans="1:13" ht="15" thickBot="1" x14ac:dyDescent="0.4">
      <c r="A58" s="12">
        <f t="shared" si="3"/>
        <v>57</v>
      </c>
      <c r="B58" s="67" t="s">
        <v>64</v>
      </c>
      <c r="C58" s="68">
        <v>1.5</v>
      </c>
      <c r="D58" s="46">
        <v>6</v>
      </c>
      <c r="E58" s="46">
        <v>18</v>
      </c>
      <c r="F58" s="47">
        <f t="shared" si="4"/>
        <v>0.75</v>
      </c>
      <c r="G58" s="48">
        <f t="shared" si="1"/>
        <v>0.5</v>
      </c>
      <c r="H58" s="49">
        <f t="shared" si="2"/>
        <v>2.25</v>
      </c>
      <c r="I58" s="35" t="b">
        <v>0</v>
      </c>
      <c r="J58" s="36" t="b">
        <v>0</v>
      </c>
      <c r="K58" s="37" t="b">
        <v>0</v>
      </c>
      <c r="L58" s="22" t="b">
        <v>0</v>
      </c>
      <c r="M58" s="22" t="b">
        <v>0</v>
      </c>
    </row>
    <row r="59" spans="1:13" ht="15" thickBot="1" x14ac:dyDescent="0.4">
      <c r="A59" s="12">
        <f t="shared" si="3"/>
        <v>58</v>
      </c>
      <c r="B59" s="65" t="s">
        <v>65</v>
      </c>
      <c r="C59" s="66">
        <v>0.5</v>
      </c>
      <c r="D59" s="31">
        <v>4</v>
      </c>
      <c r="E59" s="31">
        <v>18</v>
      </c>
      <c r="F59" s="32">
        <f t="shared" si="4"/>
        <v>0.25</v>
      </c>
      <c r="G59" s="33">
        <f t="shared" si="1"/>
        <v>0.5</v>
      </c>
      <c r="H59" s="34">
        <f t="shared" si="2"/>
        <v>0.75</v>
      </c>
      <c r="I59" s="35" t="b">
        <v>0</v>
      </c>
      <c r="J59" s="36" t="b">
        <v>0</v>
      </c>
      <c r="K59" s="37" t="b">
        <v>0</v>
      </c>
      <c r="L59" s="22" t="b">
        <v>0</v>
      </c>
      <c r="M59" s="22" t="b">
        <v>0</v>
      </c>
    </row>
    <row r="60" spans="1:13" ht="15" thickBot="1" x14ac:dyDescent="0.4">
      <c r="A60" s="12">
        <f t="shared" si="3"/>
        <v>59</v>
      </c>
      <c r="B60" s="59" t="s">
        <v>66</v>
      </c>
      <c r="C60" s="60">
        <v>2</v>
      </c>
      <c r="D60" s="31">
        <v>4</v>
      </c>
      <c r="E60" s="31">
        <v>18</v>
      </c>
      <c r="F60" s="41">
        <f t="shared" si="4"/>
        <v>1</v>
      </c>
      <c r="G60" s="42">
        <f t="shared" si="1"/>
        <v>0.5</v>
      </c>
      <c r="H60" s="43">
        <f t="shared" si="2"/>
        <v>3</v>
      </c>
      <c r="I60" s="35" t="b">
        <v>0</v>
      </c>
      <c r="J60" s="36" t="b">
        <v>0</v>
      </c>
      <c r="K60" s="37" t="b">
        <v>0</v>
      </c>
      <c r="L60" s="22" t="b">
        <v>0</v>
      </c>
      <c r="M60" s="22" t="b">
        <v>0</v>
      </c>
    </row>
    <row r="61" spans="1:13" ht="15" thickBot="1" x14ac:dyDescent="0.4">
      <c r="A61" s="12">
        <f t="shared" si="3"/>
        <v>60</v>
      </c>
      <c r="B61" s="67" t="s">
        <v>67</v>
      </c>
      <c r="C61" s="68">
        <v>0.5</v>
      </c>
      <c r="D61" s="46">
        <v>4</v>
      </c>
      <c r="E61" s="46">
        <v>18</v>
      </c>
      <c r="F61" s="47">
        <f t="shared" si="4"/>
        <v>0.25</v>
      </c>
      <c r="G61" s="48">
        <f t="shared" si="1"/>
        <v>0.5</v>
      </c>
      <c r="H61" s="49">
        <f t="shared" si="2"/>
        <v>0.75</v>
      </c>
      <c r="I61" s="35" t="b">
        <v>0</v>
      </c>
      <c r="J61" s="36" t="b">
        <v>0</v>
      </c>
      <c r="K61" s="37" t="b">
        <v>0</v>
      </c>
      <c r="L61" s="22" t="b">
        <v>0</v>
      </c>
      <c r="M61" s="22" t="b">
        <v>0</v>
      </c>
    </row>
    <row r="62" spans="1:13" ht="15" thickBot="1" x14ac:dyDescent="0.4">
      <c r="A62" s="12">
        <f t="shared" si="3"/>
        <v>61</v>
      </c>
      <c r="B62" s="65" t="s">
        <v>68</v>
      </c>
      <c r="C62" s="66">
        <v>0.5</v>
      </c>
      <c r="D62" s="31">
        <v>6</v>
      </c>
      <c r="E62" s="31">
        <v>18</v>
      </c>
      <c r="F62" s="32">
        <f t="shared" si="4"/>
        <v>0.25</v>
      </c>
      <c r="G62" s="33">
        <f t="shared" si="1"/>
        <v>0.5</v>
      </c>
      <c r="H62" s="34">
        <f t="shared" si="2"/>
        <v>0.75</v>
      </c>
      <c r="I62" s="35" t="b">
        <v>0</v>
      </c>
      <c r="J62" s="36" t="b">
        <v>0</v>
      </c>
      <c r="K62" s="37" t="s">
        <v>40</v>
      </c>
      <c r="L62" s="22" t="b">
        <v>0</v>
      </c>
      <c r="M62" s="22" t="b">
        <v>0</v>
      </c>
    </row>
  </sheetData>
  <conditionalFormatting sqref="I1:K1">
    <cfRule type="expression" dxfId="8" priority="2">
      <formula>I1 &lt;&gt; FALSE</formula>
    </cfRule>
  </conditionalFormatting>
  <conditionalFormatting sqref="I2:K62">
    <cfRule type="expression" dxfId="7" priority="3">
      <formula>I2&lt;&gt;FALSE</formula>
    </cfRule>
  </conditionalFormatting>
  <conditionalFormatting sqref="L1:M62">
    <cfRule type="cellIs" dxfId="6" priority="1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32C5-5417-4F5D-AB49-969E32B17CC3}">
  <dimension ref="A1:K35"/>
  <sheetViews>
    <sheetView workbookViewId="0">
      <selection sqref="A1:XFD1048576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x14ac:dyDescent="0.35">
      <c r="A1" s="69" t="s">
        <v>0</v>
      </c>
      <c r="B1" s="4" t="s">
        <v>1</v>
      </c>
      <c r="C1" s="70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9" t="s">
        <v>9</v>
      </c>
      <c r="K1" s="9" t="s">
        <v>10</v>
      </c>
    </row>
    <row r="2" spans="1:11" ht="15" thickBot="1" x14ac:dyDescent="0.4">
      <c r="A2" s="71">
        <v>1</v>
      </c>
      <c r="B2" s="72" t="s">
        <v>69</v>
      </c>
      <c r="C2" s="73" t="s">
        <v>70</v>
      </c>
      <c r="D2" s="74" t="s">
        <v>71</v>
      </c>
      <c r="E2" s="75" t="s">
        <v>71</v>
      </c>
      <c r="F2" s="76" t="str">
        <f>IFERROR((H2-C2)/H2, "")</f>
        <v/>
      </c>
      <c r="G2" s="77"/>
      <c r="H2" s="78"/>
      <c r="I2" s="79" t="b">
        <v>1</v>
      </c>
      <c r="J2" s="80" t="b">
        <v>0</v>
      </c>
      <c r="K2" s="80" t="b">
        <v>0</v>
      </c>
    </row>
    <row r="3" spans="1:11" x14ac:dyDescent="0.35">
      <c r="A3" s="81">
        <f>A2+1</f>
        <v>2</v>
      </c>
      <c r="B3" s="82" t="s">
        <v>72</v>
      </c>
      <c r="C3" s="83">
        <v>0.75</v>
      </c>
      <c r="D3" s="74" t="s">
        <v>71</v>
      </c>
      <c r="E3" s="74" t="s">
        <v>71</v>
      </c>
      <c r="F3" s="84">
        <f t="shared" ref="F3:F35" si="0">IFERROR((H3-C3)/H3, "")</f>
        <v>0.5714285714285714</v>
      </c>
      <c r="G3" s="81">
        <v>1</v>
      </c>
      <c r="H3" s="85">
        <f>IFERROR(C3+G3,"")</f>
        <v>1.75</v>
      </c>
      <c r="I3" s="86" t="b">
        <v>0</v>
      </c>
      <c r="J3" s="87" t="b">
        <v>0</v>
      </c>
      <c r="K3" s="87" t="b">
        <v>0</v>
      </c>
    </row>
    <row r="4" spans="1:11" x14ac:dyDescent="0.35">
      <c r="A4" s="88">
        <f>A3+1</f>
        <v>3</v>
      </c>
      <c r="B4" s="89" t="s">
        <v>73</v>
      </c>
      <c r="C4" s="90">
        <v>0.75</v>
      </c>
      <c r="D4" s="74" t="s">
        <v>71</v>
      </c>
      <c r="E4" s="91" t="s">
        <v>71</v>
      </c>
      <c r="F4" s="92">
        <f t="shared" si="0"/>
        <v>0.5714285714285714</v>
      </c>
      <c r="G4" s="88">
        <v>1</v>
      </c>
      <c r="H4" s="93">
        <f t="shared" ref="H4:H35" si="1">IFERROR(C4+G4,"")</f>
        <v>1.75</v>
      </c>
      <c r="I4" s="94" t="b">
        <v>0</v>
      </c>
      <c r="J4" s="95" t="b">
        <v>0</v>
      </c>
      <c r="K4" s="95" t="b">
        <v>0</v>
      </c>
    </row>
    <row r="5" spans="1:11" x14ac:dyDescent="0.35">
      <c r="A5" s="88">
        <f t="shared" ref="A5:A35" si="2">A4+1</f>
        <v>4</v>
      </c>
      <c r="B5" s="89" t="s">
        <v>74</v>
      </c>
      <c r="C5" s="90">
        <v>0.75</v>
      </c>
      <c r="D5" s="74" t="s">
        <v>71</v>
      </c>
      <c r="E5" s="91" t="s">
        <v>71</v>
      </c>
      <c r="F5" s="92">
        <f t="shared" si="0"/>
        <v>0.5714285714285714</v>
      </c>
      <c r="G5" s="88">
        <v>1</v>
      </c>
      <c r="H5" s="93">
        <f t="shared" si="1"/>
        <v>1.75</v>
      </c>
      <c r="I5" s="94" t="b">
        <v>0</v>
      </c>
      <c r="J5" s="95" t="b">
        <v>0</v>
      </c>
      <c r="K5" s="95" t="b">
        <v>0</v>
      </c>
    </row>
    <row r="6" spans="1:11" x14ac:dyDescent="0.35">
      <c r="A6" s="88">
        <f t="shared" si="2"/>
        <v>5</v>
      </c>
      <c r="B6" s="89" t="s">
        <v>75</v>
      </c>
      <c r="C6" s="90">
        <v>0.75</v>
      </c>
      <c r="D6" s="74" t="s">
        <v>71</v>
      </c>
      <c r="E6" s="91" t="s">
        <v>71</v>
      </c>
      <c r="F6" s="92">
        <f t="shared" si="0"/>
        <v>0.5714285714285714</v>
      </c>
      <c r="G6" s="88">
        <v>1</v>
      </c>
      <c r="H6" s="93">
        <f t="shared" si="1"/>
        <v>1.75</v>
      </c>
      <c r="I6" s="94" t="b">
        <v>0</v>
      </c>
      <c r="J6" s="95" t="b">
        <v>0</v>
      </c>
      <c r="K6" s="95" t="b">
        <v>0</v>
      </c>
    </row>
    <row r="7" spans="1:11" x14ac:dyDescent="0.35">
      <c r="A7" s="88">
        <f t="shared" si="2"/>
        <v>6</v>
      </c>
      <c r="B7" s="89" t="s">
        <v>76</v>
      </c>
      <c r="C7" s="90">
        <v>2</v>
      </c>
      <c r="D7" s="74" t="s">
        <v>71</v>
      </c>
      <c r="E7" s="91">
        <v>14</v>
      </c>
      <c r="F7" s="92">
        <f t="shared" si="0"/>
        <v>0.6</v>
      </c>
      <c r="G7" s="88">
        <v>3</v>
      </c>
      <c r="H7" s="93">
        <f t="shared" si="1"/>
        <v>5</v>
      </c>
      <c r="I7" s="94" t="b">
        <v>0</v>
      </c>
      <c r="J7" s="95" t="b">
        <v>0</v>
      </c>
      <c r="K7" s="95" t="b">
        <v>0</v>
      </c>
    </row>
    <row r="8" spans="1:11" x14ac:dyDescent="0.35">
      <c r="A8" s="88">
        <f t="shared" si="2"/>
        <v>7</v>
      </c>
      <c r="B8" s="89" t="s">
        <v>77</v>
      </c>
      <c r="C8" s="90">
        <v>2.5</v>
      </c>
      <c r="D8" s="74" t="s">
        <v>71</v>
      </c>
      <c r="E8" s="91">
        <v>10.5</v>
      </c>
      <c r="F8" s="92">
        <f t="shared" si="0"/>
        <v>0.6</v>
      </c>
      <c r="G8" s="88">
        <v>3.75</v>
      </c>
      <c r="H8" s="93">
        <f t="shared" si="1"/>
        <v>6.25</v>
      </c>
      <c r="I8" s="94" t="b">
        <v>0</v>
      </c>
      <c r="J8" s="95" t="s">
        <v>14</v>
      </c>
      <c r="K8" s="95" t="b">
        <v>0</v>
      </c>
    </row>
    <row r="9" spans="1:11" x14ac:dyDescent="0.35">
      <c r="A9" s="88">
        <f t="shared" si="2"/>
        <v>8</v>
      </c>
      <c r="B9" s="89" t="s">
        <v>78</v>
      </c>
      <c r="C9" s="90">
        <v>2.5</v>
      </c>
      <c r="D9" s="74" t="s">
        <v>71</v>
      </c>
      <c r="E9" s="91">
        <v>10.5</v>
      </c>
      <c r="F9" s="92">
        <f t="shared" si="0"/>
        <v>0.6</v>
      </c>
      <c r="G9" s="88">
        <v>3.75</v>
      </c>
      <c r="H9" s="93">
        <f t="shared" si="1"/>
        <v>6.25</v>
      </c>
      <c r="I9" s="94" t="b">
        <v>0</v>
      </c>
      <c r="J9" s="95" t="b">
        <v>0</v>
      </c>
      <c r="K9" s="95" t="b">
        <v>0</v>
      </c>
    </row>
    <row r="10" spans="1:11" x14ac:dyDescent="0.35">
      <c r="A10" s="88">
        <f t="shared" si="2"/>
        <v>9</v>
      </c>
      <c r="B10" s="89" t="s">
        <v>79</v>
      </c>
      <c r="C10" s="90">
        <v>1.75</v>
      </c>
      <c r="D10" s="74" t="s">
        <v>71</v>
      </c>
      <c r="E10" s="91">
        <v>8.25</v>
      </c>
      <c r="F10" s="92">
        <f t="shared" si="0"/>
        <v>0.58823529411764708</v>
      </c>
      <c r="G10" s="88">
        <v>2.5</v>
      </c>
      <c r="H10" s="93">
        <f t="shared" si="1"/>
        <v>4.25</v>
      </c>
      <c r="I10" s="94" t="b">
        <v>0</v>
      </c>
      <c r="J10" s="95" t="b">
        <v>0</v>
      </c>
      <c r="K10" s="95" t="b">
        <v>0</v>
      </c>
    </row>
    <row r="11" spans="1:11" x14ac:dyDescent="0.35">
      <c r="A11" s="88">
        <f t="shared" si="2"/>
        <v>10</v>
      </c>
      <c r="B11" s="89" t="s">
        <v>80</v>
      </c>
      <c r="C11" s="90">
        <v>2</v>
      </c>
      <c r="D11" s="74" t="s">
        <v>71</v>
      </c>
      <c r="E11" s="91">
        <v>12</v>
      </c>
      <c r="F11" s="92">
        <f t="shared" si="0"/>
        <v>0.55555555555555558</v>
      </c>
      <c r="G11" s="88">
        <v>2.5</v>
      </c>
      <c r="H11" s="93">
        <f t="shared" si="1"/>
        <v>4.5</v>
      </c>
      <c r="I11" s="94" t="b">
        <v>0</v>
      </c>
      <c r="J11" s="95" t="s">
        <v>40</v>
      </c>
      <c r="K11" s="95" t="b">
        <v>0</v>
      </c>
    </row>
    <row r="12" spans="1:11" x14ac:dyDescent="0.35">
      <c r="A12" s="88">
        <f t="shared" si="2"/>
        <v>11</v>
      </c>
      <c r="B12" s="89" t="s">
        <v>81</v>
      </c>
      <c r="C12" s="90">
        <v>1</v>
      </c>
      <c r="D12" s="74" t="s">
        <v>71</v>
      </c>
      <c r="E12" s="91" t="s">
        <v>71</v>
      </c>
      <c r="F12" s="92">
        <f t="shared" si="0"/>
        <v>0.6</v>
      </c>
      <c r="G12" s="88">
        <v>1.5</v>
      </c>
      <c r="H12" s="93">
        <f t="shared" si="1"/>
        <v>2.5</v>
      </c>
      <c r="I12" s="94" t="b">
        <v>0</v>
      </c>
      <c r="J12" s="95" t="b">
        <v>0</v>
      </c>
      <c r="K12" s="95" t="b">
        <v>0</v>
      </c>
    </row>
    <row r="13" spans="1:11" x14ac:dyDescent="0.35">
      <c r="A13" s="88">
        <f t="shared" si="2"/>
        <v>12</v>
      </c>
      <c r="B13" s="89" t="s">
        <v>82</v>
      </c>
      <c r="C13" s="90">
        <v>1</v>
      </c>
      <c r="D13" s="74" t="s">
        <v>71</v>
      </c>
      <c r="E13" s="91" t="s">
        <v>71</v>
      </c>
      <c r="F13" s="92">
        <f t="shared" si="0"/>
        <v>0.6</v>
      </c>
      <c r="G13" s="88">
        <v>1.5</v>
      </c>
      <c r="H13" s="93">
        <f t="shared" si="1"/>
        <v>2.5</v>
      </c>
      <c r="I13" s="94" t="b">
        <v>0</v>
      </c>
      <c r="J13" s="95" t="b">
        <v>0</v>
      </c>
      <c r="K13" s="95" t="b">
        <v>0</v>
      </c>
    </row>
    <row r="14" spans="1:11" ht="15" thickBot="1" x14ac:dyDescent="0.4">
      <c r="A14" s="71">
        <f t="shared" si="2"/>
        <v>13</v>
      </c>
      <c r="B14" s="96" t="s">
        <v>83</v>
      </c>
      <c r="C14" s="97">
        <v>0.5</v>
      </c>
      <c r="D14" s="98" t="s">
        <v>71</v>
      </c>
      <c r="E14" s="75" t="s">
        <v>71</v>
      </c>
      <c r="F14" s="76">
        <f t="shared" si="0"/>
        <v>0.5</v>
      </c>
      <c r="G14" s="71">
        <v>0.5</v>
      </c>
      <c r="H14" s="99">
        <f t="shared" si="1"/>
        <v>1</v>
      </c>
      <c r="I14" s="79" t="b">
        <v>0</v>
      </c>
      <c r="J14" s="80" t="b">
        <v>0</v>
      </c>
      <c r="K14" s="80" t="b">
        <v>0</v>
      </c>
    </row>
    <row r="15" spans="1:11" ht="15" thickBot="1" x14ac:dyDescent="0.4">
      <c r="A15" s="100">
        <f t="shared" si="2"/>
        <v>14</v>
      </c>
      <c r="B15" s="101" t="s">
        <v>84</v>
      </c>
      <c r="C15" s="102" t="s">
        <v>8</v>
      </c>
      <c r="D15" s="98" t="s">
        <v>71</v>
      </c>
      <c r="E15" s="98" t="s">
        <v>71</v>
      </c>
      <c r="F15" s="103" t="str">
        <f t="shared" si="0"/>
        <v/>
      </c>
      <c r="G15" s="100"/>
      <c r="H15" s="104" t="str">
        <f t="shared" si="1"/>
        <v/>
      </c>
      <c r="I15" s="105" t="b">
        <v>1</v>
      </c>
      <c r="J15" s="106" t="b">
        <v>0</v>
      </c>
      <c r="K15" s="106" t="b">
        <v>0</v>
      </c>
    </row>
    <row r="16" spans="1:11" ht="15" thickBot="1" x14ac:dyDescent="0.4">
      <c r="A16" s="100">
        <f t="shared" si="2"/>
        <v>15</v>
      </c>
      <c r="B16" s="101" t="s">
        <v>85</v>
      </c>
      <c r="C16" s="102">
        <v>1</v>
      </c>
      <c r="D16" s="107">
        <v>3</v>
      </c>
      <c r="E16" s="98" t="s">
        <v>71</v>
      </c>
      <c r="F16" s="103">
        <f t="shared" si="0"/>
        <v>0.5</v>
      </c>
      <c r="G16" s="100">
        <v>1</v>
      </c>
      <c r="H16" s="104">
        <f t="shared" si="1"/>
        <v>2</v>
      </c>
      <c r="I16" s="105" t="b">
        <v>0</v>
      </c>
      <c r="J16" s="106" t="b">
        <v>0</v>
      </c>
      <c r="K16" s="106" t="b">
        <v>0</v>
      </c>
    </row>
    <row r="17" spans="1:11" x14ac:dyDescent="0.35">
      <c r="A17" s="81">
        <f t="shared" si="2"/>
        <v>16</v>
      </c>
      <c r="B17" s="82" t="s">
        <v>86</v>
      </c>
      <c r="C17" s="83">
        <v>2</v>
      </c>
      <c r="D17" s="74">
        <v>2</v>
      </c>
      <c r="E17" s="74">
        <v>13.5</v>
      </c>
      <c r="F17" s="84">
        <f t="shared" si="0"/>
        <v>0.66666666666666663</v>
      </c>
      <c r="G17" s="81">
        <v>4</v>
      </c>
      <c r="H17" s="85">
        <f t="shared" si="1"/>
        <v>6</v>
      </c>
      <c r="I17" s="86" t="b">
        <v>0</v>
      </c>
      <c r="J17" s="87" t="b">
        <v>0</v>
      </c>
      <c r="K17" s="87" t="b">
        <v>0</v>
      </c>
    </row>
    <row r="18" spans="1:11" x14ac:dyDescent="0.35">
      <c r="A18" s="88">
        <f t="shared" si="2"/>
        <v>17</v>
      </c>
      <c r="B18" s="89" t="s">
        <v>75</v>
      </c>
      <c r="C18" s="90">
        <v>1</v>
      </c>
      <c r="D18" s="91">
        <v>2</v>
      </c>
      <c r="E18" s="91">
        <v>13.5</v>
      </c>
      <c r="F18" s="92">
        <f t="shared" si="0"/>
        <v>0.66666666666666663</v>
      </c>
      <c r="G18" s="88">
        <v>2</v>
      </c>
      <c r="H18" s="93">
        <f t="shared" si="1"/>
        <v>3</v>
      </c>
      <c r="I18" s="94" t="b">
        <v>0</v>
      </c>
      <c r="J18" s="95" t="b">
        <v>0</v>
      </c>
      <c r="K18" s="95" t="b">
        <v>0</v>
      </c>
    </row>
    <row r="19" spans="1:11" x14ac:dyDescent="0.35">
      <c r="A19" s="88">
        <f t="shared" si="2"/>
        <v>18</v>
      </c>
      <c r="B19" s="89" t="s">
        <v>87</v>
      </c>
      <c r="C19" s="90">
        <v>2</v>
      </c>
      <c r="D19" s="74" t="s">
        <v>71</v>
      </c>
      <c r="E19" s="91">
        <v>12</v>
      </c>
      <c r="F19" s="92">
        <f t="shared" si="0"/>
        <v>0.42857142857142855</v>
      </c>
      <c r="G19" s="88">
        <v>1.5</v>
      </c>
      <c r="H19" s="93">
        <f t="shared" si="1"/>
        <v>3.5</v>
      </c>
      <c r="I19" s="94" t="b">
        <v>0</v>
      </c>
      <c r="J19" s="95" t="b">
        <v>0</v>
      </c>
      <c r="K19" s="95" t="b">
        <v>0</v>
      </c>
    </row>
    <row r="20" spans="1:11" x14ac:dyDescent="0.35">
      <c r="A20" s="88">
        <f t="shared" si="2"/>
        <v>19</v>
      </c>
      <c r="B20" s="89" t="s">
        <v>88</v>
      </c>
      <c r="C20" s="90">
        <v>3</v>
      </c>
      <c r="D20" s="74" t="s">
        <v>71</v>
      </c>
      <c r="E20" s="91">
        <v>12</v>
      </c>
      <c r="F20" s="92">
        <f t="shared" si="0"/>
        <v>0.4</v>
      </c>
      <c r="G20" s="88">
        <v>2</v>
      </c>
      <c r="H20" s="93">
        <f t="shared" si="1"/>
        <v>5</v>
      </c>
      <c r="I20" s="94" t="b">
        <v>0</v>
      </c>
      <c r="J20" s="95" t="b">
        <v>0</v>
      </c>
      <c r="K20" s="95" t="s">
        <v>14</v>
      </c>
    </row>
    <row r="21" spans="1:11" x14ac:dyDescent="0.35">
      <c r="A21" s="88">
        <f t="shared" si="2"/>
        <v>20</v>
      </c>
      <c r="B21" s="89" t="s">
        <v>89</v>
      </c>
      <c r="C21" s="90">
        <v>1</v>
      </c>
      <c r="D21" s="74" t="s">
        <v>71</v>
      </c>
      <c r="E21" s="91">
        <v>10.5</v>
      </c>
      <c r="F21" s="92">
        <f t="shared" si="0"/>
        <v>0.83333333333333337</v>
      </c>
      <c r="G21" s="88">
        <v>5</v>
      </c>
      <c r="H21" s="93">
        <f t="shared" si="1"/>
        <v>6</v>
      </c>
      <c r="I21" s="94" t="b">
        <v>0</v>
      </c>
      <c r="J21" s="95" t="b">
        <v>0</v>
      </c>
      <c r="K21" s="95" t="b">
        <v>0</v>
      </c>
    </row>
    <row r="22" spans="1:11" x14ac:dyDescent="0.35">
      <c r="A22" s="88">
        <f t="shared" si="2"/>
        <v>21</v>
      </c>
      <c r="B22" s="89" t="s">
        <v>90</v>
      </c>
      <c r="C22" s="90">
        <v>1</v>
      </c>
      <c r="D22" s="74" t="s">
        <v>71</v>
      </c>
      <c r="E22" s="91">
        <v>12</v>
      </c>
      <c r="F22" s="92">
        <f t="shared" si="0"/>
        <v>0.5</v>
      </c>
      <c r="G22" s="88">
        <v>1</v>
      </c>
      <c r="H22" s="93">
        <f t="shared" si="1"/>
        <v>2</v>
      </c>
      <c r="I22" s="94" t="b">
        <v>0</v>
      </c>
      <c r="J22" s="95" t="b">
        <v>0</v>
      </c>
      <c r="K22" s="95" t="b">
        <v>0</v>
      </c>
    </row>
    <row r="23" spans="1:11" x14ac:dyDescent="0.35">
      <c r="A23" s="88">
        <f t="shared" si="2"/>
        <v>22</v>
      </c>
      <c r="B23" s="89" t="s">
        <v>91</v>
      </c>
      <c r="C23" s="90">
        <v>1</v>
      </c>
      <c r="D23" s="74" t="s">
        <v>71</v>
      </c>
      <c r="E23" s="91">
        <v>12</v>
      </c>
      <c r="F23" s="92">
        <f t="shared" si="0"/>
        <v>0.5</v>
      </c>
      <c r="G23" s="88">
        <v>1</v>
      </c>
      <c r="H23" s="93">
        <f t="shared" si="1"/>
        <v>2</v>
      </c>
      <c r="I23" s="94" t="b">
        <v>0</v>
      </c>
      <c r="J23" s="95" t="b">
        <v>0</v>
      </c>
      <c r="K23" s="95" t="b">
        <v>0</v>
      </c>
    </row>
    <row r="24" spans="1:11" x14ac:dyDescent="0.35">
      <c r="A24" s="88">
        <f t="shared" si="2"/>
        <v>23</v>
      </c>
      <c r="B24" s="89" t="s">
        <v>92</v>
      </c>
      <c r="C24" s="90">
        <v>2.5</v>
      </c>
      <c r="D24" s="74" t="s">
        <v>71</v>
      </c>
      <c r="E24" s="91">
        <v>10.5</v>
      </c>
      <c r="F24" s="92">
        <f t="shared" si="0"/>
        <v>0.61538461538461542</v>
      </c>
      <c r="G24" s="88">
        <v>4</v>
      </c>
      <c r="H24" s="93">
        <f t="shared" si="1"/>
        <v>6.5</v>
      </c>
      <c r="I24" s="94" t="b">
        <v>0</v>
      </c>
      <c r="J24" s="95" t="b">
        <v>0</v>
      </c>
      <c r="K24" s="95" t="b">
        <v>0</v>
      </c>
    </row>
    <row r="25" spans="1:11" x14ac:dyDescent="0.35">
      <c r="A25" s="88">
        <f t="shared" si="2"/>
        <v>24</v>
      </c>
      <c r="B25" s="89" t="s">
        <v>93</v>
      </c>
      <c r="C25" s="90">
        <v>1</v>
      </c>
      <c r="D25" s="74" t="s">
        <v>71</v>
      </c>
      <c r="E25" s="91">
        <v>12</v>
      </c>
      <c r="F25" s="92">
        <f t="shared" si="0"/>
        <v>0.5</v>
      </c>
      <c r="G25" s="88">
        <v>1</v>
      </c>
      <c r="H25" s="93">
        <f t="shared" si="1"/>
        <v>2</v>
      </c>
      <c r="I25" s="94" t="b">
        <v>0</v>
      </c>
      <c r="J25" s="95" t="b">
        <v>0</v>
      </c>
      <c r="K25" s="95" t="b">
        <v>0</v>
      </c>
    </row>
    <row r="26" spans="1:11" x14ac:dyDescent="0.35">
      <c r="A26" s="88">
        <f t="shared" si="2"/>
        <v>25</v>
      </c>
      <c r="B26" s="89" t="s">
        <v>94</v>
      </c>
      <c r="C26" s="90">
        <v>1</v>
      </c>
      <c r="D26" s="74" t="s">
        <v>71</v>
      </c>
      <c r="E26" s="91">
        <v>10.5</v>
      </c>
      <c r="F26" s="92">
        <f t="shared" si="0"/>
        <v>0.5</v>
      </c>
      <c r="G26" s="88">
        <v>1</v>
      </c>
      <c r="H26" s="93">
        <f t="shared" si="1"/>
        <v>2</v>
      </c>
      <c r="I26" s="94" t="b">
        <v>0</v>
      </c>
      <c r="J26" s="95" t="b">
        <v>0</v>
      </c>
      <c r="K26" s="95" t="b">
        <v>0</v>
      </c>
    </row>
    <row r="27" spans="1:11" x14ac:dyDescent="0.35">
      <c r="A27" s="88">
        <f t="shared" si="2"/>
        <v>26</v>
      </c>
      <c r="B27" s="108" t="s">
        <v>95</v>
      </c>
      <c r="C27" s="90">
        <v>2.5</v>
      </c>
      <c r="D27" s="74" t="s">
        <v>71</v>
      </c>
      <c r="E27" s="91">
        <v>8.25</v>
      </c>
      <c r="F27" s="92">
        <f t="shared" si="0"/>
        <v>0.6</v>
      </c>
      <c r="G27" s="88">
        <v>3.75</v>
      </c>
      <c r="H27" s="93">
        <f t="shared" si="1"/>
        <v>6.25</v>
      </c>
      <c r="I27" s="94" t="b">
        <v>0</v>
      </c>
      <c r="J27" s="95" t="b">
        <v>0</v>
      </c>
      <c r="K27" s="95" t="b">
        <v>0</v>
      </c>
    </row>
    <row r="28" spans="1:11" x14ac:dyDescent="0.35">
      <c r="A28" s="88">
        <f t="shared" si="2"/>
        <v>27</v>
      </c>
      <c r="B28" s="108" t="s">
        <v>96</v>
      </c>
      <c r="C28" s="90">
        <v>2.5</v>
      </c>
      <c r="D28" s="74" t="s">
        <v>71</v>
      </c>
      <c r="E28" s="91">
        <v>8.25</v>
      </c>
      <c r="F28" s="92">
        <f t="shared" si="0"/>
        <v>0.6</v>
      </c>
      <c r="G28" s="88">
        <v>3.75</v>
      </c>
      <c r="H28" s="93">
        <f t="shared" si="1"/>
        <v>6.25</v>
      </c>
      <c r="I28" s="94" t="b">
        <v>0</v>
      </c>
      <c r="J28" s="95" t="b">
        <v>0</v>
      </c>
      <c r="K28" s="95" t="b">
        <v>0</v>
      </c>
    </row>
    <row r="29" spans="1:11" x14ac:dyDescent="0.35">
      <c r="A29" s="88">
        <f t="shared" si="2"/>
        <v>28</v>
      </c>
      <c r="B29" s="108" t="s">
        <v>97</v>
      </c>
      <c r="C29" s="90">
        <v>2.5</v>
      </c>
      <c r="D29" s="74" t="s">
        <v>71</v>
      </c>
      <c r="E29" s="91">
        <v>8.25</v>
      </c>
      <c r="F29" s="92">
        <f t="shared" si="0"/>
        <v>0.6</v>
      </c>
      <c r="G29" s="88">
        <v>3.75</v>
      </c>
      <c r="H29" s="93">
        <f t="shared" si="1"/>
        <v>6.25</v>
      </c>
      <c r="I29" s="94" t="b">
        <v>0</v>
      </c>
      <c r="J29" s="95" t="b">
        <v>0</v>
      </c>
      <c r="K29" s="95" t="b">
        <v>0</v>
      </c>
    </row>
    <row r="30" spans="1:11" x14ac:dyDescent="0.35">
      <c r="A30" s="88">
        <f t="shared" si="2"/>
        <v>29</v>
      </c>
      <c r="B30" s="108" t="s">
        <v>98</v>
      </c>
      <c r="C30" s="90">
        <v>3</v>
      </c>
      <c r="D30" s="74" t="s">
        <v>71</v>
      </c>
      <c r="E30" s="109">
        <v>10.5</v>
      </c>
      <c r="F30" s="92">
        <f t="shared" si="0"/>
        <v>0.5</v>
      </c>
      <c r="G30" s="88">
        <v>3</v>
      </c>
      <c r="H30" s="93">
        <f t="shared" si="1"/>
        <v>6</v>
      </c>
      <c r="I30" s="94" t="b">
        <v>0</v>
      </c>
      <c r="J30" s="95" t="b">
        <v>0</v>
      </c>
      <c r="K30" s="95" t="b">
        <v>0</v>
      </c>
    </row>
    <row r="31" spans="1:11" x14ac:dyDescent="0.35">
      <c r="A31" s="88">
        <f t="shared" si="2"/>
        <v>30</v>
      </c>
      <c r="B31" s="108" t="s">
        <v>99</v>
      </c>
      <c r="C31" s="90">
        <v>1</v>
      </c>
      <c r="D31" s="74" t="s">
        <v>71</v>
      </c>
      <c r="E31" s="109">
        <v>13.5</v>
      </c>
      <c r="F31" s="92">
        <f t="shared" si="0"/>
        <v>0.66666666666666663</v>
      </c>
      <c r="G31" s="88">
        <v>2</v>
      </c>
      <c r="H31" s="93">
        <f t="shared" si="1"/>
        <v>3</v>
      </c>
      <c r="I31" s="94" t="b">
        <v>0</v>
      </c>
      <c r="J31" s="95" t="b">
        <v>0</v>
      </c>
      <c r="K31" s="95" t="b">
        <v>0</v>
      </c>
    </row>
    <row r="32" spans="1:11" x14ac:dyDescent="0.35">
      <c r="A32" s="88">
        <f t="shared" si="2"/>
        <v>31</v>
      </c>
      <c r="B32" s="108" t="s">
        <v>81</v>
      </c>
      <c r="C32" s="90">
        <v>1</v>
      </c>
      <c r="D32" s="74" t="s">
        <v>71</v>
      </c>
      <c r="E32" s="109">
        <v>13.5</v>
      </c>
      <c r="F32" s="92">
        <f t="shared" si="0"/>
        <v>0.66666666666666663</v>
      </c>
      <c r="G32" s="88">
        <v>2</v>
      </c>
      <c r="H32" s="93">
        <f t="shared" si="1"/>
        <v>3</v>
      </c>
      <c r="I32" s="94" t="b">
        <v>0</v>
      </c>
      <c r="J32" s="95" t="b">
        <v>0</v>
      </c>
      <c r="K32" s="95" t="b">
        <v>0</v>
      </c>
    </row>
    <row r="33" spans="1:11" x14ac:dyDescent="0.35">
      <c r="A33" s="88">
        <f t="shared" si="2"/>
        <v>32</v>
      </c>
      <c r="B33" s="108" t="s">
        <v>100</v>
      </c>
      <c r="C33" s="90">
        <v>1</v>
      </c>
      <c r="D33" s="74" t="s">
        <v>71</v>
      </c>
      <c r="E33" s="109">
        <v>13.5</v>
      </c>
      <c r="F33" s="92">
        <f t="shared" si="0"/>
        <v>0.66666666666666663</v>
      </c>
      <c r="G33" s="88">
        <v>2</v>
      </c>
      <c r="H33" s="93">
        <f t="shared" si="1"/>
        <v>3</v>
      </c>
      <c r="I33" s="94" t="b">
        <v>0</v>
      </c>
      <c r="J33" s="95" t="b">
        <v>0</v>
      </c>
      <c r="K33" s="95" t="b">
        <v>0</v>
      </c>
    </row>
    <row r="34" spans="1:11" ht="15" thickBot="1" x14ac:dyDescent="0.4">
      <c r="A34" s="71">
        <f t="shared" si="2"/>
        <v>33</v>
      </c>
      <c r="B34" s="110" t="s">
        <v>101</v>
      </c>
      <c r="C34" s="111">
        <v>0.5</v>
      </c>
      <c r="D34" s="98" t="s">
        <v>71</v>
      </c>
      <c r="E34" s="112">
        <v>13.5</v>
      </c>
      <c r="F34" s="76">
        <f t="shared" si="0"/>
        <v>0.5</v>
      </c>
      <c r="G34" s="71">
        <v>0.5</v>
      </c>
      <c r="H34" s="93">
        <f t="shared" si="1"/>
        <v>1</v>
      </c>
      <c r="I34" s="79" t="b">
        <v>0</v>
      </c>
      <c r="J34" s="80" t="b">
        <v>0</v>
      </c>
      <c r="K34" s="80" t="b">
        <v>0</v>
      </c>
    </row>
    <row r="35" spans="1:11" ht="15" thickBot="1" x14ac:dyDescent="0.4">
      <c r="A35" s="81">
        <f t="shared" si="2"/>
        <v>34</v>
      </c>
      <c r="B35" s="113" t="s">
        <v>102</v>
      </c>
      <c r="C35" s="83">
        <v>0.5</v>
      </c>
      <c r="D35" s="114">
        <v>3</v>
      </c>
      <c r="E35" s="114" t="s">
        <v>71</v>
      </c>
      <c r="F35" s="84">
        <f t="shared" si="0"/>
        <v>0.5</v>
      </c>
      <c r="G35" s="81">
        <v>0.5</v>
      </c>
      <c r="H35" s="93">
        <f t="shared" si="1"/>
        <v>1</v>
      </c>
      <c r="I35" s="79" t="b">
        <v>0</v>
      </c>
      <c r="J35" s="80" t="b">
        <v>0</v>
      </c>
      <c r="K35" s="80" t="s">
        <v>103</v>
      </c>
    </row>
  </sheetData>
  <conditionalFormatting sqref="I1:K35">
    <cfRule type="expression" dxfId="4" priority="1">
      <formula>I1 &lt;&gt; FALSE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45E9-CF64-4414-AD08-FCEE8FBC18B7}">
  <dimension ref="A1:K30"/>
  <sheetViews>
    <sheetView workbookViewId="0">
      <selection activeCell="N41" sqref="N41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ht="15" thickBot="1" x14ac:dyDescent="0.4">
      <c r="A1" s="129" t="s">
        <v>0</v>
      </c>
      <c r="B1" s="130" t="s">
        <v>1</v>
      </c>
      <c r="C1" s="131" t="s">
        <v>2</v>
      </c>
      <c r="D1" s="130" t="s">
        <v>3</v>
      </c>
      <c r="E1" s="130" t="s">
        <v>4</v>
      </c>
      <c r="F1" s="132" t="s">
        <v>5</v>
      </c>
      <c r="G1" s="132" t="s">
        <v>6</v>
      </c>
      <c r="H1" s="133" t="s">
        <v>7</v>
      </c>
      <c r="I1" s="134" t="s">
        <v>8</v>
      </c>
      <c r="J1" s="135" t="s">
        <v>9</v>
      </c>
      <c r="K1" s="136" t="s">
        <v>10</v>
      </c>
    </row>
    <row r="2" spans="1:11" ht="15" thickBot="1" x14ac:dyDescent="0.4">
      <c r="A2" s="100">
        <v>1</v>
      </c>
      <c r="B2" s="125" t="s">
        <v>69</v>
      </c>
      <c r="C2" s="126" t="s">
        <v>70</v>
      </c>
      <c r="D2" s="74" t="s">
        <v>71</v>
      </c>
      <c r="E2" s="98" t="s">
        <v>71</v>
      </c>
      <c r="F2" s="103" t="str">
        <f>IFERROR((H2-C2)/H2, "")</f>
        <v/>
      </c>
      <c r="G2" s="127"/>
      <c r="H2" s="128"/>
      <c r="I2" s="105" t="b">
        <v>1</v>
      </c>
      <c r="J2" s="106" t="b">
        <v>0</v>
      </c>
      <c r="K2" s="106" t="b">
        <v>0</v>
      </c>
    </row>
    <row r="3" spans="1:11" x14ac:dyDescent="0.35">
      <c r="A3" s="81">
        <f>A2+1</f>
        <v>2</v>
      </c>
      <c r="B3" s="82" t="s">
        <v>72</v>
      </c>
      <c r="C3" s="83">
        <v>0.75</v>
      </c>
      <c r="D3" s="74" t="s">
        <v>71</v>
      </c>
      <c r="E3" s="74" t="s">
        <v>71</v>
      </c>
      <c r="F3" s="84">
        <f t="shared" ref="F3:F30" si="0">IFERROR((H3-C3)/H3, "")</f>
        <v>0.5714285714285714</v>
      </c>
      <c r="G3" s="81">
        <v>1</v>
      </c>
      <c r="H3" s="85">
        <f>IFERROR(C3+G3,"")</f>
        <v>1.75</v>
      </c>
      <c r="I3" s="86" t="b">
        <v>0</v>
      </c>
      <c r="J3" s="87" t="b">
        <v>0</v>
      </c>
      <c r="K3" s="87" t="b">
        <v>0</v>
      </c>
    </row>
    <row r="4" spans="1:11" x14ac:dyDescent="0.35">
      <c r="A4" s="88">
        <f>A3+1</f>
        <v>3</v>
      </c>
      <c r="B4" s="89" t="s">
        <v>120</v>
      </c>
      <c r="C4" s="90">
        <v>0.75</v>
      </c>
      <c r="D4" s="74" t="s">
        <v>71</v>
      </c>
      <c r="E4" s="91" t="s">
        <v>71</v>
      </c>
      <c r="F4" s="92">
        <f t="shared" si="0"/>
        <v>0.5714285714285714</v>
      </c>
      <c r="G4" s="88">
        <v>1</v>
      </c>
      <c r="H4" s="93">
        <f t="shared" ref="H4:H30" si="1">IFERROR(C4+G4,"")</f>
        <v>1.75</v>
      </c>
      <c r="I4" s="94" t="b">
        <v>0</v>
      </c>
      <c r="J4" s="95" t="b">
        <v>0</v>
      </c>
      <c r="K4" s="95" t="b">
        <v>0</v>
      </c>
    </row>
    <row r="5" spans="1:11" x14ac:dyDescent="0.35">
      <c r="A5" s="88">
        <f t="shared" ref="A5:A30" si="2">A4+1</f>
        <v>4</v>
      </c>
      <c r="B5" s="89" t="s">
        <v>74</v>
      </c>
      <c r="C5" s="90">
        <v>0.75</v>
      </c>
      <c r="D5" s="74" t="s">
        <v>71</v>
      </c>
      <c r="E5" s="91" t="s">
        <v>71</v>
      </c>
      <c r="F5" s="92">
        <f t="shared" si="0"/>
        <v>0.5714285714285714</v>
      </c>
      <c r="G5" s="88">
        <v>1</v>
      </c>
      <c r="H5" s="93">
        <f t="shared" si="1"/>
        <v>1.75</v>
      </c>
      <c r="I5" s="94" t="b">
        <v>0</v>
      </c>
      <c r="J5" s="95" t="b">
        <v>0</v>
      </c>
      <c r="K5" s="95" t="b">
        <v>0</v>
      </c>
    </row>
    <row r="6" spans="1:11" x14ac:dyDescent="0.35">
      <c r="A6" s="88">
        <f t="shared" si="2"/>
        <v>5</v>
      </c>
      <c r="B6" s="89" t="s">
        <v>75</v>
      </c>
      <c r="C6" s="90">
        <v>0.75</v>
      </c>
      <c r="D6" s="74" t="s">
        <v>71</v>
      </c>
      <c r="E6" s="91" t="s">
        <v>71</v>
      </c>
      <c r="F6" s="92">
        <f t="shared" si="0"/>
        <v>0.5714285714285714</v>
      </c>
      <c r="G6" s="88">
        <v>1</v>
      </c>
      <c r="H6" s="93">
        <f t="shared" si="1"/>
        <v>1.75</v>
      </c>
      <c r="I6" s="94" t="b">
        <v>0</v>
      </c>
      <c r="J6" s="95" t="b">
        <v>0</v>
      </c>
      <c r="K6" s="95" t="b">
        <v>0</v>
      </c>
    </row>
    <row r="7" spans="1:11" x14ac:dyDescent="0.35">
      <c r="A7" s="88">
        <f t="shared" si="2"/>
        <v>6</v>
      </c>
      <c r="B7" s="89" t="s">
        <v>76</v>
      </c>
      <c r="C7" s="90">
        <v>2</v>
      </c>
      <c r="D7" s="74" t="s">
        <v>71</v>
      </c>
      <c r="E7" s="91">
        <v>14</v>
      </c>
      <c r="F7" s="92">
        <f t="shared" si="0"/>
        <v>0.6</v>
      </c>
      <c r="G7" s="88">
        <v>3</v>
      </c>
      <c r="H7" s="93">
        <f t="shared" si="1"/>
        <v>5</v>
      </c>
      <c r="I7" s="94" t="b">
        <v>0</v>
      </c>
      <c r="J7" s="95" t="b">
        <v>0</v>
      </c>
      <c r="K7" s="95" t="b">
        <v>0</v>
      </c>
    </row>
    <row r="8" spans="1:11" x14ac:dyDescent="0.35">
      <c r="A8" s="88">
        <f t="shared" si="2"/>
        <v>7</v>
      </c>
      <c r="B8" s="89" t="s">
        <v>77</v>
      </c>
      <c r="C8" s="90">
        <v>2.5</v>
      </c>
      <c r="D8" s="74" t="s">
        <v>71</v>
      </c>
      <c r="E8" s="91">
        <v>10.5</v>
      </c>
      <c r="F8" s="92">
        <f t="shared" si="0"/>
        <v>0.6</v>
      </c>
      <c r="G8" s="88">
        <v>3.75</v>
      </c>
      <c r="H8" s="93">
        <f t="shared" si="1"/>
        <v>6.25</v>
      </c>
      <c r="I8" s="94" t="b">
        <v>0</v>
      </c>
      <c r="J8" s="95" t="s">
        <v>14</v>
      </c>
      <c r="K8" s="95" t="b">
        <v>0</v>
      </c>
    </row>
    <row r="9" spans="1:11" x14ac:dyDescent="0.35">
      <c r="A9" s="88">
        <f t="shared" si="2"/>
        <v>8</v>
      </c>
      <c r="B9" s="89" t="s">
        <v>78</v>
      </c>
      <c r="C9" s="90">
        <v>2.5</v>
      </c>
      <c r="D9" s="74" t="s">
        <v>71</v>
      </c>
      <c r="E9" s="91">
        <v>10.5</v>
      </c>
      <c r="F9" s="92">
        <f t="shared" si="0"/>
        <v>0.6</v>
      </c>
      <c r="G9" s="88">
        <v>3.75</v>
      </c>
      <c r="H9" s="93">
        <f t="shared" si="1"/>
        <v>6.25</v>
      </c>
      <c r="I9" s="94" t="b">
        <v>0</v>
      </c>
      <c r="J9" s="95" t="b">
        <v>0</v>
      </c>
      <c r="K9" s="95" t="b">
        <v>0</v>
      </c>
    </row>
    <row r="10" spans="1:11" x14ac:dyDescent="0.35">
      <c r="A10" s="88">
        <f t="shared" si="2"/>
        <v>9</v>
      </c>
      <c r="B10" s="89" t="s">
        <v>79</v>
      </c>
      <c r="C10" s="90">
        <v>1.75</v>
      </c>
      <c r="D10" s="74" t="s">
        <v>71</v>
      </c>
      <c r="E10" s="91">
        <v>8.25</v>
      </c>
      <c r="F10" s="92">
        <f t="shared" si="0"/>
        <v>0.58823529411764708</v>
      </c>
      <c r="G10" s="88">
        <v>2.5</v>
      </c>
      <c r="H10" s="93">
        <f t="shared" si="1"/>
        <v>4.25</v>
      </c>
      <c r="I10" s="94" t="b">
        <v>0</v>
      </c>
      <c r="J10" s="95" t="b">
        <v>0</v>
      </c>
      <c r="K10" s="95" t="b">
        <v>0</v>
      </c>
    </row>
    <row r="11" spans="1:11" x14ac:dyDescent="0.35">
      <c r="A11" s="88">
        <f t="shared" si="2"/>
        <v>10</v>
      </c>
      <c r="B11" s="89" t="s">
        <v>80</v>
      </c>
      <c r="C11" s="90">
        <v>2</v>
      </c>
      <c r="D11" s="74" t="s">
        <v>71</v>
      </c>
      <c r="E11" s="91">
        <v>12</v>
      </c>
      <c r="F11" s="92">
        <f t="shared" si="0"/>
        <v>0.55555555555555558</v>
      </c>
      <c r="G11" s="88">
        <v>2.5</v>
      </c>
      <c r="H11" s="93">
        <f t="shared" si="1"/>
        <v>4.5</v>
      </c>
      <c r="I11" s="94" t="b">
        <v>0</v>
      </c>
      <c r="J11" s="95" t="s">
        <v>40</v>
      </c>
      <c r="K11" s="95" t="b">
        <v>0</v>
      </c>
    </row>
    <row r="12" spans="1:11" x14ac:dyDescent="0.35">
      <c r="A12" s="88">
        <f t="shared" si="2"/>
        <v>11</v>
      </c>
      <c r="B12" s="89" t="s">
        <v>81</v>
      </c>
      <c r="C12" s="90">
        <v>1</v>
      </c>
      <c r="D12" s="74" t="s">
        <v>71</v>
      </c>
      <c r="E12" s="91" t="s">
        <v>71</v>
      </c>
      <c r="F12" s="92">
        <f t="shared" si="0"/>
        <v>0.6</v>
      </c>
      <c r="G12" s="88">
        <v>1.5</v>
      </c>
      <c r="H12" s="93">
        <f t="shared" si="1"/>
        <v>2.5</v>
      </c>
      <c r="I12" s="94" t="b">
        <v>0</v>
      </c>
      <c r="J12" s="95" t="b">
        <v>0</v>
      </c>
      <c r="K12" s="95" t="b">
        <v>0</v>
      </c>
    </row>
    <row r="13" spans="1:11" x14ac:dyDescent="0.35">
      <c r="A13" s="88">
        <f t="shared" si="2"/>
        <v>12</v>
      </c>
      <c r="B13" s="89" t="s">
        <v>82</v>
      </c>
      <c r="C13" s="90">
        <v>1</v>
      </c>
      <c r="D13" s="74" t="s">
        <v>71</v>
      </c>
      <c r="E13" s="91" t="s">
        <v>71</v>
      </c>
      <c r="F13" s="92">
        <f t="shared" si="0"/>
        <v>0.6</v>
      </c>
      <c r="G13" s="88">
        <v>1.5</v>
      </c>
      <c r="H13" s="93">
        <f t="shared" si="1"/>
        <v>2.5</v>
      </c>
      <c r="I13" s="94" t="b">
        <v>0</v>
      </c>
      <c r="J13" s="95" t="b">
        <v>0</v>
      </c>
      <c r="K13" s="95" t="b">
        <v>0</v>
      </c>
    </row>
    <row r="14" spans="1:11" ht="15" thickBot="1" x14ac:dyDescent="0.4">
      <c r="A14" s="71">
        <f t="shared" si="2"/>
        <v>13</v>
      </c>
      <c r="B14" s="96" t="s">
        <v>83</v>
      </c>
      <c r="C14" s="97">
        <v>0.5</v>
      </c>
      <c r="D14" s="98" t="s">
        <v>71</v>
      </c>
      <c r="E14" s="75" t="s">
        <v>71</v>
      </c>
      <c r="F14" s="76">
        <f t="shared" si="0"/>
        <v>0.5</v>
      </c>
      <c r="G14" s="71">
        <v>0.5</v>
      </c>
      <c r="H14" s="99">
        <f t="shared" si="1"/>
        <v>1</v>
      </c>
      <c r="I14" s="79" t="b">
        <v>0</v>
      </c>
      <c r="J14" s="80" t="b">
        <v>0</v>
      </c>
      <c r="K14" s="80" t="b">
        <v>0</v>
      </c>
    </row>
    <row r="15" spans="1:11" ht="15" thickBot="1" x14ac:dyDescent="0.4">
      <c r="A15" s="100">
        <f t="shared" si="2"/>
        <v>14</v>
      </c>
      <c r="B15" s="101" t="s">
        <v>84</v>
      </c>
      <c r="C15" s="102" t="s">
        <v>8</v>
      </c>
      <c r="D15" s="98" t="s">
        <v>71</v>
      </c>
      <c r="E15" s="98" t="s">
        <v>71</v>
      </c>
      <c r="F15" s="103" t="str">
        <f t="shared" si="0"/>
        <v/>
      </c>
      <c r="G15" s="100"/>
      <c r="H15" s="104" t="str">
        <f t="shared" si="1"/>
        <v/>
      </c>
      <c r="I15" s="105" t="b">
        <v>1</v>
      </c>
      <c r="J15" s="106" t="b">
        <v>0</v>
      </c>
      <c r="K15" s="106" t="b">
        <v>0</v>
      </c>
    </row>
    <row r="16" spans="1:11" ht="15" thickBot="1" x14ac:dyDescent="0.4">
      <c r="A16" s="100">
        <f t="shared" si="2"/>
        <v>15</v>
      </c>
      <c r="B16" s="89" t="s">
        <v>121</v>
      </c>
      <c r="C16" s="102">
        <v>1</v>
      </c>
      <c r="D16" s="107">
        <v>2.5</v>
      </c>
      <c r="E16" s="98">
        <v>15</v>
      </c>
      <c r="F16" s="103">
        <f t="shared" si="0"/>
        <v>0.5</v>
      </c>
      <c r="G16" s="100">
        <v>1</v>
      </c>
      <c r="H16" s="104">
        <f t="shared" si="1"/>
        <v>2</v>
      </c>
      <c r="I16" s="105" t="b">
        <v>0</v>
      </c>
      <c r="J16" s="106" t="b">
        <v>0</v>
      </c>
      <c r="K16" s="95" t="s">
        <v>14</v>
      </c>
    </row>
    <row r="17" spans="1:11" x14ac:dyDescent="0.35">
      <c r="A17" s="81">
        <f t="shared" si="2"/>
        <v>16</v>
      </c>
      <c r="B17" s="89" t="s">
        <v>122</v>
      </c>
      <c r="C17" s="83">
        <v>1</v>
      </c>
      <c r="D17" s="74">
        <v>2</v>
      </c>
      <c r="E17" s="74">
        <v>15</v>
      </c>
      <c r="F17" s="84">
        <f t="shared" si="0"/>
        <v>0.8</v>
      </c>
      <c r="G17" s="81">
        <v>4</v>
      </c>
      <c r="H17" s="85">
        <f t="shared" si="1"/>
        <v>5</v>
      </c>
      <c r="I17" s="86" t="b">
        <v>0</v>
      </c>
      <c r="J17" s="87" t="b">
        <v>0</v>
      </c>
      <c r="K17" s="87" t="b">
        <v>0</v>
      </c>
    </row>
    <row r="18" spans="1:11" x14ac:dyDescent="0.35">
      <c r="A18" s="88">
        <f t="shared" si="2"/>
        <v>17</v>
      </c>
      <c r="B18" s="89" t="s">
        <v>123</v>
      </c>
      <c r="C18" s="90">
        <v>1</v>
      </c>
      <c r="D18" s="91">
        <v>2</v>
      </c>
      <c r="E18" s="91">
        <v>14</v>
      </c>
      <c r="F18" s="92">
        <f t="shared" si="0"/>
        <v>0.66666666666666663</v>
      </c>
      <c r="G18" s="88">
        <v>2</v>
      </c>
      <c r="H18" s="93">
        <f t="shared" si="1"/>
        <v>3</v>
      </c>
      <c r="I18" s="94" t="b">
        <v>0</v>
      </c>
      <c r="J18" s="95" t="b">
        <v>0</v>
      </c>
      <c r="K18" s="95" t="b">
        <v>0</v>
      </c>
    </row>
    <row r="19" spans="1:11" x14ac:dyDescent="0.35">
      <c r="A19" s="88">
        <f t="shared" si="2"/>
        <v>18</v>
      </c>
      <c r="B19" s="89" t="s">
        <v>124</v>
      </c>
      <c r="C19" s="90">
        <v>1.5</v>
      </c>
      <c r="D19" s="74">
        <v>1.5</v>
      </c>
      <c r="E19" s="91">
        <v>12</v>
      </c>
      <c r="F19" s="92">
        <f t="shared" si="0"/>
        <v>0.5</v>
      </c>
      <c r="G19" s="88">
        <v>1.5</v>
      </c>
      <c r="H19" s="93">
        <f t="shared" si="1"/>
        <v>3</v>
      </c>
      <c r="I19" s="94" t="b">
        <v>0</v>
      </c>
      <c r="J19" s="95" t="b">
        <v>0</v>
      </c>
      <c r="K19" s="95" t="b">
        <v>0</v>
      </c>
    </row>
    <row r="20" spans="1:11" x14ac:dyDescent="0.35">
      <c r="A20" s="88">
        <f t="shared" si="2"/>
        <v>19</v>
      </c>
      <c r="B20" s="89" t="s">
        <v>125</v>
      </c>
      <c r="C20" s="90">
        <v>3</v>
      </c>
      <c r="D20" s="74">
        <v>1.5</v>
      </c>
      <c r="E20" s="91">
        <v>12</v>
      </c>
      <c r="F20" s="92">
        <f t="shared" si="0"/>
        <v>0.4</v>
      </c>
      <c r="G20" s="88">
        <v>2</v>
      </c>
      <c r="H20" s="93">
        <f t="shared" si="1"/>
        <v>5</v>
      </c>
      <c r="I20" s="94" t="b">
        <v>0</v>
      </c>
      <c r="J20" s="95" t="b">
        <v>0</v>
      </c>
      <c r="K20" s="95" t="b">
        <v>0</v>
      </c>
    </row>
    <row r="21" spans="1:11" x14ac:dyDescent="0.35">
      <c r="A21" s="88">
        <f t="shared" si="2"/>
        <v>20</v>
      </c>
      <c r="B21" s="89" t="s">
        <v>126</v>
      </c>
      <c r="C21" s="90">
        <v>3</v>
      </c>
      <c r="D21" s="74">
        <v>1.5</v>
      </c>
      <c r="E21" s="91">
        <v>12</v>
      </c>
      <c r="F21" s="92">
        <f t="shared" si="0"/>
        <v>0.625</v>
      </c>
      <c r="G21" s="88">
        <v>5</v>
      </c>
      <c r="H21" s="93">
        <f t="shared" si="1"/>
        <v>8</v>
      </c>
      <c r="I21" s="94" t="b">
        <v>0</v>
      </c>
      <c r="J21" s="95" t="b">
        <v>0</v>
      </c>
      <c r="K21" s="95" t="b">
        <v>0</v>
      </c>
    </row>
    <row r="22" spans="1:11" x14ac:dyDescent="0.35">
      <c r="A22" s="88">
        <f t="shared" si="2"/>
        <v>21</v>
      </c>
      <c r="B22" s="89" t="s">
        <v>127</v>
      </c>
      <c r="C22" s="90">
        <v>1.5</v>
      </c>
      <c r="D22" s="74">
        <v>1.5</v>
      </c>
      <c r="E22" s="91">
        <v>11</v>
      </c>
      <c r="F22" s="92">
        <f t="shared" si="0"/>
        <v>0.4</v>
      </c>
      <c r="G22" s="88">
        <v>1</v>
      </c>
      <c r="H22" s="93">
        <f t="shared" si="1"/>
        <v>2.5</v>
      </c>
      <c r="I22" s="94" t="b">
        <v>0</v>
      </c>
      <c r="J22" s="95" t="b">
        <v>0</v>
      </c>
      <c r="K22" s="95" t="b">
        <v>0</v>
      </c>
    </row>
    <row r="23" spans="1:11" x14ac:dyDescent="0.35">
      <c r="A23" s="88">
        <f t="shared" si="2"/>
        <v>22</v>
      </c>
      <c r="B23" s="89" t="s">
        <v>128</v>
      </c>
      <c r="C23" s="90">
        <v>2</v>
      </c>
      <c r="D23" s="74">
        <v>1.25</v>
      </c>
      <c r="E23" s="91">
        <v>10</v>
      </c>
      <c r="F23" s="92">
        <f t="shared" si="0"/>
        <v>0.33333333333333331</v>
      </c>
      <c r="G23" s="88">
        <v>1</v>
      </c>
      <c r="H23" s="93">
        <f t="shared" si="1"/>
        <v>3</v>
      </c>
      <c r="I23" s="94" t="b">
        <v>0</v>
      </c>
      <c r="J23" s="95" t="b">
        <v>0</v>
      </c>
      <c r="K23" s="95" t="b">
        <v>0</v>
      </c>
    </row>
    <row r="24" spans="1:11" x14ac:dyDescent="0.35">
      <c r="A24" s="88">
        <f t="shared" si="2"/>
        <v>23</v>
      </c>
      <c r="B24" s="89" t="s">
        <v>129</v>
      </c>
      <c r="C24" s="90">
        <v>1</v>
      </c>
      <c r="D24" s="74">
        <v>1.5</v>
      </c>
      <c r="E24" s="91">
        <v>11</v>
      </c>
      <c r="F24" s="92">
        <f t="shared" si="0"/>
        <v>0.8</v>
      </c>
      <c r="G24" s="88">
        <v>4</v>
      </c>
      <c r="H24" s="93">
        <f t="shared" si="1"/>
        <v>5</v>
      </c>
      <c r="I24" s="94" t="b">
        <v>0</v>
      </c>
      <c r="J24" s="95" t="b">
        <v>0</v>
      </c>
      <c r="K24" s="95" t="b">
        <v>0</v>
      </c>
    </row>
    <row r="25" spans="1:11" x14ac:dyDescent="0.35">
      <c r="A25" s="88">
        <f t="shared" si="2"/>
        <v>24</v>
      </c>
      <c r="B25" s="89" t="s">
        <v>130</v>
      </c>
      <c r="C25" s="90">
        <v>2</v>
      </c>
      <c r="D25" s="74">
        <v>1.5</v>
      </c>
      <c r="E25" s="91">
        <v>10</v>
      </c>
      <c r="F25" s="92">
        <f t="shared" si="0"/>
        <v>0.33333333333333331</v>
      </c>
      <c r="G25" s="88">
        <v>1</v>
      </c>
      <c r="H25" s="93">
        <f t="shared" si="1"/>
        <v>3</v>
      </c>
      <c r="I25" s="94" t="b">
        <v>0</v>
      </c>
      <c r="J25" s="95" t="b">
        <v>0</v>
      </c>
      <c r="K25" s="95" t="b">
        <v>0</v>
      </c>
    </row>
    <row r="26" spans="1:11" x14ac:dyDescent="0.35">
      <c r="A26" s="88">
        <f t="shared" si="2"/>
        <v>25</v>
      </c>
      <c r="B26" s="89" t="s">
        <v>131</v>
      </c>
      <c r="C26" s="90">
        <v>4</v>
      </c>
      <c r="D26" s="74">
        <v>1.25</v>
      </c>
      <c r="E26" s="91">
        <v>10</v>
      </c>
      <c r="F26" s="92">
        <f t="shared" si="0"/>
        <v>0.2</v>
      </c>
      <c r="G26" s="88">
        <v>1</v>
      </c>
      <c r="H26" s="93">
        <f t="shared" si="1"/>
        <v>5</v>
      </c>
      <c r="I26" s="94" t="b">
        <v>0</v>
      </c>
      <c r="J26" s="95" t="b">
        <v>0</v>
      </c>
      <c r="K26" s="95" t="b">
        <v>0</v>
      </c>
    </row>
    <row r="27" spans="1:11" x14ac:dyDescent="0.35">
      <c r="A27" s="88">
        <f t="shared" si="2"/>
        <v>26</v>
      </c>
      <c r="B27" s="89" t="s">
        <v>132</v>
      </c>
      <c r="C27" s="90">
        <v>4</v>
      </c>
      <c r="D27" s="74">
        <v>1.25</v>
      </c>
      <c r="E27" s="91">
        <v>10</v>
      </c>
      <c r="F27" s="92">
        <f t="shared" si="0"/>
        <v>0.4838709677419355</v>
      </c>
      <c r="G27" s="88">
        <v>3.75</v>
      </c>
      <c r="H27" s="93">
        <f t="shared" si="1"/>
        <v>7.75</v>
      </c>
      <c r="I27" s="94" t="b">
        <v>0</v>
      </c>
      <c r="J27" s="95" t="b">
        <v>0</v>
      </c>
      <c r="K27" s="95" t="b">
        <v>0</v>
      </c>
    </row>
    <row r="28" spans="1:11" x14ac:dyDescent="0.35">
      <c r="A28" s="88">
        <f t="shared" si="2"/>
        <v>27</v>
      </c>
      <c r="B28" s="89" t="s">
        <v>133</v>
      </c>
      <c r="C28" s="90">
        <v>2</v>
      </c>
      <c r="D28" s="74">
        <v>2</v>
      </c>
      <c r="E28" s="91">
        <v>15</v>
      </c>
      <c r="F28" s="92">
        <f t="shared" si="0"/>
        <v>0.65217391304347827</v>
      </c>
      <c r="G28" s="88">
        <v>3.75</v>
      </c>
      <c r="H28" s="93">
        <f t="shared" si="1"/>
        <v>5.75</v>
      </c>
      <c r="I28" s="94" t="b">
        <v>0</v>
      </c>
      <c r="J28" s="95" t="b">
        <v>0</v>
      </c>
      <c r="K28" s="95" t="b">
        <v>0</v>
      </c>
    </row>
    <row r="29" spans="1:11" x14ac:dyDescent="0.35">
      <c r="A29" s="88">
        <f t="shared" si="2"/>
        <v>28</v>
      </c>
      <c r="B29" s="89" t="s">
        <v>134</v>
      </c>
      <c r="C29" s="90">
        <v>2</v>
      </c>
      <c r="D29" s="74">
        <v>2.5</v>
      </c>
      <c r="E29" s="91">
        <v>18</v>
      </c>
      <c r="F29" s="92">
        <f t="shared" si="0"/>
        <v>0.65217391304347827</v>
      </c>
      <c r="G29" s="88">
        <v>3.75</v>
      </c>
      <c r="H29" s="93">
        <f t="shared" si="1"/>
        <v>5.75</v>
      </c>
      <c r="I29" s="94" t="b">
        <v>0</v>
      </c>
      <c r="J29" s="95" t="b">
        <v>0</v>
      </c>
      <c r="K29" s="95" t="b">
        <v>0</v>
      </c>
    </row>
    <row r="30" spans="1:11" x14ac:dyDescent="0.35">
      <c r="A30" s="88">
        <f t="shared" si="2"/>
        <v>29</v>
      </c>
      <c r="B30" s="89" t="s">
        <v>136</v>
      </c>
      <c r="C30" s="90">
        <v>3</v>
      </c>
      <c r="D30" s="74">
        <v>3</v>
      </c>
      <c r="E30" s="109">
        <v>18</v>
      </c>
      <c r="F30" s="92">
        <f t="shared" si="0"/>
        <v>0.5</v>
      </c>
      <c r="G30" s="88">
        <v>3</v>
      </c>
      <c r="H30" s="93">
        <f t="shared" si="1"/>
        <v>6</v>
      </c>
      <c r="I30" s="94" t="b">
        <v>0</v>
      </c>
      <c r="J30" s="95" t="b">
        <v>0</v>
      </c>
      <c r="K30" s="95" t="s">
        <v>40</v>
      </c>
    </row>
  </sheetData>
  <conditionalFormatting sqref="I1:K30">
    <cfRule type="expression" dxfId="1" priority="1">
      <formula>I1 &lt;&gt; 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a87ec-ce06-4a46-ac90-8191594adba5">
      <Terms xmlns="http://schemas.microsoft.com/office/infopath/2007/PartnerControls"/>
    </lcf76f155ced4ddcb4097134ff3c332f>
    <TaxCatchAll xmlns="da33cc24-0e2a-4239-89af-d2fec3b2c4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8ABF9A39F4E48ADF8A96B66476F5D" ma:contentTypeVersion="14" ma:contentTypeDescription="Create a new document." ma:contentTypeScope="" ma:versionID="93de2859373ba7228437315dfabaf2d3">
  <xsd:schema xmlns:xsd="http://www.w3.org/2001/XMLSchema" xmlns:xs="http://www.w3.org/2001/XMLSchema" xmlns:p="http://schemas.microsoft.com/office/2006/metadata/properties" xmlns:ns2="a52a87ec-ce06-4a46-ac90-8191594adba5" xmlns:ns3="da33cc24-0e2a-4239-89af-d2fec3b2c49c" targetNamespace="http://schemas.microsoft.com/office/2006/metadata/properties" ma:root="true" ma:fieldsID="10702117a05abcb06f2d823b09c7f736" ns2:_="" ns3:_="">
    <xsd:import namespace="a52a87ec-ce06-4a46-ac90-8191594adba5"/>
    <xsd:import namespace="da33cc24-0e2a-4239-89af-d2fec3b2c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a87ec-ce06-4a46-ac90-8191594ad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a9b28e-ce9f-42ea-892f-7f2cbfb8f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3cc24-0e2a-4239-89af-d2fec3b2c4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d2ae1-5ed2-4c1d-aac1-94d1debdb6f7}" ma:internalName="TaxCatchAll" ma:showField="CatchAllData" ma:web="da33cc24-0e2a-4239-89af-d2fec3b2c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DC4F9-0B33-4F2B-8820-723597976220}">
  <ds:schemaRefs>
    <ds:schemaRef ds:uri="http://schemas.microsoft.com/office/2006/metadata/properties"/>
    <ds:schemaRef ds:uri="http://schemas.microsoft.com/office/infopath/2007/PartnerControls"/>
    <ds:schemaRef ds:uri="a52a87ec-ce06-4a46-ac90-8191594adba5"/>
    <ds:schemaRef ds:uri="da33cc24-0e2a-4239-89af-d2fec3b2c49c"/>
  </ds:schemaRefs>
</ds:datastoreItem>
</file>

<file path=customXml/itemProps2.xml><?xml version="1.0" encoding="utf-8"?>
<ds:datastoreItem xmlns:ds="http://schemas.openxmlformats.org/officeDocument/2006/customXml" ds:itemID="{53AC1766-A039-451E-A3FB-B56AFE122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a87ec-ce06-4a46-ac90-8191594adba5"/>
    <ds:schemaRef ds:uri="da33cc24-0e2a-4239-89af-d2fec3b2c4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1AD94-7986-4823-A702-D78EF72B24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W90 MP</vt:lpstr>
      <vt:lpstr>JUV MP</vt:lpstr>
      <vt:lpstr>FIV MP</vt:lpstr>
      <vt:lpstr>W90 WTG</vt:lpstr>
      <vt:lpstr>JUV WTG</vt:lpstr>
      <vt:lpstr>FIV WTG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Stian Giæver</dc:creator>
  <cp:lastModifiedBy>Stian Giæver</cp:lastModifiedBy>
  <dcterms:created xsi:type="dcterms:W3CDTF">2026-04-09T06:12:29Z</dcterms:created>
  <dcterms:modified xsi:type="dcterms:W3CDTF">2026-04-28T06:35:26Z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0x0101001358ABF9A39F4E48ADF8A96B66476F5D</vt:lpwstr>
  </property>
  <property fmtid="{D5CDD505-2E9C-101B-9397-08002B2CF9AE}" pid="3" name="MediaServiceImageTags">
    <vt:lpwstr/>
  </property>
</Properties>
</file>